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eteamanalytics-my.sharepoint.com/personal/mkaraca_ereteam_com/Documents/KOÇTAŞ/Websheets/"/>
    </mc:Choice>
  </mc:AlternateContent>
  <xr:revisionPtr revIDLastSave="0" documentId="8_{AFDCC7AD-B544-49D2-A359-B25DCF32414D}" xr6:coauthVersionLast="47" xr6:coauthVersionMax="47" xr10:uidLastSave="{00000000-0000-0000-0000-000000000000}"/>
  <bookViews>
    <workbookView xWindow="-120" yWindow="-120" windowWidth="29040" windowHeight="15840" firstSheet="1" activeTab="1" xr2:uid="{127F71EE-8231-4A38-ADA7-5DBE041C0085}"/>
  </bookViews>
  <sheets>
    <sheet name="Cognos_Office_Connection_Cache" sheetId="2" state="veryHidden" r:id="rId1"/>
    <sheet name="PL" sheetId="1" r:id="rId2"/>
    <sheet name="COST" sheetId="3" r:id="rId3"/>
  </sheets>
  <definedNames>
    <definedName name="ID" localSheetId="0" hidden="1">"c6a83869-9345-458a-b773-50b14587eb86"</definedName>
    <definedName name="ID" localSheetId="2" hidden="1">"73a51491-3a4e-4b24-b0fe-213246860205"</definedName>
    <definedName name="ID" localSheetId="1" hidden="1">"fc1a7533-2b14-406f-9a30-14bf036df991"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L6" i="1" a="1"/>
  <c r="H6" i="1" a="1"/>
  <c r="E1" i="1" a="1"/>
  <c r="E1" i="1" l="1"/>
  <c r="G1" i="1"/>
  <c r="L6" i="1"/>
  <c r="J9" i="1"/>
  <c r="H6" i="1"/>
  <c r="F9" i="1"/>
  <c r="E6" i="1" a="1"/>
  <c r="L5" i="1" l="1"/>
  <c r="H5" i="1"/>
  <c r="E5" i="1"/>
  <c r="E6" i="1"/>
  <c r="O5" i="1" a="1"/>
  <c r="J71" i="1" a="1"/>
  <c r="J63" i="1" a="1"/>
  <c r="J40" i="1" a="1"/>
  <c r="J38" i="1" a="1"/>
  <c r="J14" i="1" a="1"/>
  <c r="F71" i="1" a="1"/>
  <c r="F49" i="1" a="1"/>
  <c r="F21" i="1" a="1"/>
  <c r="F41" i="1" a="1"/>
  <c r="J48" i="1" a="1"/>
  <c r="J46" i="1" a="1"/>
  <c r="J69" i="1" a="1"/>
  <c r="J25" i="1" a="1"/>
  <c r="J70" i="1" a="1"/>
  <c r="F30" i="1" a="1"/>
  <c r="F74" i="1" a="1"/>
  <c r="F29" i="1" a="1"/>
  <c r="F66" i="1" a="1"/>
  <c r="F25" i="1" a="1"/>
  <c r="D14" i="1" a="1"/>
  <c r="D38" i="1" a="1"/>
  <c r="D41" i="1" a="1"/>
  <c r="D53" i="1" a="1"/>
  <c r="D60" i="1" a="1"/>
  <c r="F63" i="1" a="1"/>
  <c r="F45" i="1" a="1"/>
  <c r="D63" i="1" a="1"/>
  <c r="D13" i="1" a="1"/>
  <c r="D43" i="1" a="1"/>
  <c r="J68" i="1" a="1"/>
  <c r="J66" i="1" a="1"/>
  <c r="J16" i="1" a="1"/>
  <c r="J52" i="1" a="1"/>
  <c r="J67" i="1" a="1"/>
  <c r="F26" i="1" a="1"/>
  <c r="F51" i="1" a="1"/>
  <c r="F54" i="1" a="1"/>
  <c r="F36" i="1" a="1"/>
  <c r="F68" i="1" a="1"/>
  <c r="D68" i="1" a="1"/>
  <c r="D12" i="1" a="1"/>
  <c r="D22" i="1" a="1"/>
  <c r="D61" i="1" a="1"/>
  <c r="D73" i="1" a="1"/>
  <c r="D21" i="1" a="1"/>
  <c r="F32" i="1" a="1"/>
  <c r="F56" i="1" a="1"/>
  <c r="F28" i="1" a="1"/>
  <c r="D62" i="1" a="1"/>
  <c r="F38" i="1" a="1"/>
  <c r="D29" i="1" a="1"/>
  <c r="F48" i="1" a="1"/>
  <c r="D27" i="1" a="1"/>
  <c r="J31" i="1" a="1"/>
  <c r="J29" i="1" a="1"/>
  <c r="J49" i="1" a="1"/>
  <c r="J47" i="1" a="1"/>
  <c r="J26" i="1" a="1"/>
  <c r="F31" i="1" a="1"/>
  <c r="F47" i="1" a="1"/>
  <c r="F18" i="1" a="1"/>
  <c r="F62" i="1" a="1"/>
  <c r="F33" i="1" a="1"/>
  <c r="D72" i="1" a="1"/>
  <c r="D32" i="1" a="1"/>
  <c r="D50" i="1" a="1"/>
  <c r="D48" i="1" a="1"/>
  <c r="D15" i="1" a="1"/>
  <c r="J36" i="1" a="1"/>
  <c r="F64" i="1" a="1"/>
  <c r="F46" i="1" a="1"/>
  <c r="D64" i="1" a="1"/>
  <c r="D65" i="1" a="1"/>
  <c r="J41" i="1" a="1"/>
  <c r="F58" i="1" a="1"/>
  <c r="D58" i="1" a="1"/>
  <c r="D18" i="1" a="1"/>
  <c r="J54" i="1" a="1"/>
  <c r="J39" i="1" a="1"/>
  <c r="J51" i="1" a="1"/>
  <c r="J43" i="1" a="1"/>
  <c r="J61" i="1" a="1"/>
  <c r="J17" i="1" a="1"/>
  <c r="J13" i="1" a="1"/>
  <c r="J28" i="1" a="1"/>
  <c r="J18" i="1" a="1"/>
  <c r="J27" i="1" a="1"/>
  <c r="J44" i="1" a="1"/>
  <c r="J60" i="1" a="1"/>
  <c r="J30" i="1" a="1"/>
  <c r="J58" i="1" a="1"/>
  <c r="J74" i="1" a="1"/>
  <c r="J45" i="1" a="1"/>
  <c r="J11" i="1" a="1"/>
  <c r="F35" i="1" a="1"/>
  <c r="F60" i="1" a="1"/>
  <c r="F61" i="1" a="1"/>
  <c r="F20" i="1" a="1"/>
  <c r="F24" i="1" a="1"/>
  <c r="D42" i="1" a="1"/>
  <c r="D36" i="1" a="1"/>
  <c r="D30" i="1" a="1"/>
  <c r="D55" i="1" a="1"/>
  <c r="D74" i="1" a="1"/>
  <c r="D70" i="1" a="1"/>
  <c r="D51" i="1" a="1"/>
  <c r="F72" i="1" a="1"/>
  <c r="F14" i="1" a="1"/>
  <c r="F34" i="1" a="1"/>
  <c r="F15" i="1" a="1"/>
  <c r="F13" i="1" a="1"/>
  <c r="D26" i="1" a="1"/>
  <c r="D17" i="1" a="1"/>
  <c r="D39" i="1" a="1"/>
  <c r="D34" i="1" a="1"/>
  <c r="D54" i="1" a="1"/>
  <c r="J72" i="1" a="1"/>
  <c r="J65" i="1" a="1"/>
  <c r="F73" i="1" a="1"/>
  <c r="D40" i="1" a="1"/>
  <c r="J59" i="1" a="1"/>
  <c r="J32" i="1" a="1"/>
  <c r="J73" i="1" a="1"/>
  <c r="J64" i="1" a="1"/>
  <c r="J34" i="1" a="1"/>
  <c r="F69" i="1" a="1"/>
  <c r="F52" i="1" a="1"/>
  <c r="F55" i="1" a="1"/>
  <c r="F17" i="1" a="1"/>
  <c r="F44" i="1" a="1"/>
  <c r="F43" i="1" a="1"/>
  <c r="D31" i="1" a="1"/>
  <c r="D28" i="1" a="1"/>
  <c r="D16" i="1" a="1"/>
  <c r="F37" i="1" a="1"/>
  <c r="D35" i="1" a="1"/>
  <c r="D56" i="1" a="1"/>
  <c r="J56" i="1" a="1"/>
  <c r="J42" i="1" a="1"/>
  <c r="J12" i="1" a="1"/>
  <c r="J24" i="1" a="1"/>
  <c r="J53" i="1" a="1"/>
  <c r="J23" i="1" a="1"/>
  <c r="J21" i="1" a="1"/>
  <c r="J37" i="1" a="1"/>
  <c r="J22" i="1" a="1"/>
  <c r="J50" i="1" a="1"/>
  <c r="F67" i="1" a="1"/>
  <c r="F57" i="1" a="1"/>
  <c r="F42" i="1" a="1"/>
  <c r="F23" i="1" a="1"/>
  <c r="F27" i="1" a="1"/>
  <c r="F11" i="1" a="1"/>
  <c r="D69" i="1" a="1"/>
  <c r="D67" i="1" a="1"/>
  <c r="D66" i="1" a="1"/>
  <c r="J15" i="1" a="1"/>
  <c r="D23" i="1" a="1"/>
  <c r="J35" i="1" a="1"/>
  <c r="J33" i="1" a="1"/>
  <c r="J57" i="1" a="1"/>
  <c r="J55" i="1" a="1"/>
  <c r="J62" i="1" a="1"/>
  <c r="F40" i="1" a="1"/>
  <c r="F65" i="1" a="1"/>
  <c r="F50" i="1" a="1"/>
  <c r="F16" i="1" a="1"/>
  <c r="F53" i="1" a="1"/>
  <c r="D59" i="1" a="1"/>
  <c r="D25" i="1" a="1"/>
  <c r="D44" i="1" a="1"/>
  <c r="D33" i="1" a="1"/>
  <c r="D45" i="1" a="1"/>
  <c r="D37" i="1" a="1"/>
  <c r="F12" i="1" a="1"/>
  <c r="D57" i="1" a="1"/>
  <c r="D49" i="1" a="1"/>
  <c r="D46" i="1" a="1"/>
  <c r="D24" i="1" a="1"/>
  <c r="D71" i="1" a="1"/>
  <c r="D11" i="1" a="1"/>
  <c r="F70" i="1" a="1"/>
  <c r="F59" i="1" a="1"/>
  <c r="D52" i="1" a="1"/>
  <c r="D47" i="1" a="1"/>
  <c r="J20" i="1" a="1"/>
  <c r="F39" i="1" a="1"/>
  <c r="F22" i="1" a="1"/>
  <c r="D20" i="1" a="1"/>
  <c r="J36" i="1" l="1"/>
  <c r="J17" i="1"/>
  <c r="J26" i="1"/>
  <c r="J67" i="1"/>
  <c r="J70" i="1"/>
  <c r="J14" i="1"/>
  <c r="J62" i="1"/>
  <c r="J65" i="1"/>
  <c r="J50" i="1"/>
  <c r="J53" i="1"/>
  <c r="J34" i="1"/>
  <c r="J45" i="1"/>
  <c r="J44" i="1"/>
  <c r="J61" i="1"/>
  <c r="J47" i="1"/>
  <c r="J52" i="1"/>
  <c r="J25" i="1"/>
  <c r="J38" i="1"/>
  <c r="J55" i="1"/>
  <c r="J41" i="1"/>
  <c r="J22" i="1"/>
  <c r="J24" i="1"/>
  <c r="J64" i="1"/>
  <c r="J74" i="1"/>
  <c r="J27" i="1"/>
  <c r="J43" i="1"/>
  <c r="J49" i="1"/>
  <c r="J16" i="1"/>
  <c r="J69" i="1"/>
  <c r="J40" i="1"/>
  <c r="J57" i="1"/>
  <c r="J20" i="1"/>
  <c r="J37" i="1"/>
  <c r="J12" i="1"/>
  <c r="J73" i="1"/>
  <c r="J58" i="1"/>
  <c r="J18" i="1"/>
  <c r="J51" i="1"/>
  <c r="J29" i="1"/>
  <c r="J66" i="1"/>
  <c r="J46" i="1"/>
  <c r="J63" i="1"/>
  <c r="J33" i="1"/>
  <c r="J72" i="1"/>
  <c r="J21" i="1"/>
  <c r="J42" i="1"/>
  <c r="J32" i="1"/>
  <c r="J30" i="1"/>
  <c r="J28" i="1"/>
  <c r="J39" i="1"/>
  <c r="J31" i="1"/>
  <c r="J68" i="1"/>
  <c r="J48" i="1"/>
  <c r="J71" i="1"/>
  <c r="J35" i="1"/>
  <c r="J15" i="1"/>
  <c r="J23" i="1"/>
  <c r="J56" i="1"/>
  <c r="J59" i="1"/>
  <c r="J60" i="1"/>
  <c r="J13" i="1"/>
  <c r="J54" i="1"/>
  <c r="F13" i="1"/>
  <c r="F43" i="1"/>
  <c r="F24" i="1"/>
  <c r="F59" i="1"/>
  <c r="F28" i="1"/>
  <c r="F33" i="1"/>
  <c r="F68" i="1"/>
  <c r="F25" i="1"/>
  <c r="F12" i="1"/>
  <c r="F53" i="1"/>
  <c r="F22" i="1"/>
  <c r="F27" i="1"/>
  <c r="F15" i="1"/>
  <c r="F44" i="1"/>
  <c r="F20" i="1"/>
  <c r="F70" i="1"/>
  <c r="F45" i="1"/>
  <c r="F62" i="1"/>
  <c r="F36" i="1"/>
  <c r="F66" i="1"/>
  <c r="F41" i="1"/>
  <c r="F16" i="1"/>
  <c r="F73" i="1"/>
  <c r="F23" i="1"/>
  <c r="F34" i="1"/>
  <c r="F17" i="1"/>
  <c r="F61" i="1"/>
  <c r="F46" i="1"/>
  <c r="F56" i="1"/>
  <c r="F18" i="1"/>
  <c r="F54" i="1"/>
  <c r="F29" i="1"/>
  <c r="F21" i="1"/>
  <c r="F50" i="1"/>
  <c r="F48" i="1"/>
  <c r="F42" i="1"/>
  <c r="F14" i="1"/>
  <c r="F55" i="1"/>
  <c r="F60" i="1"/>
  <c r="F64" i="1"/>
  <c r="F63" i="1"/>
  <c r="F47" i="1"/>
  <c r="F51" i="1"/>
  <c r="F74" i="1"/>
  <c r="F49" i="1"/>
  <c r="F65" i="1"/>
  <c r="F58" i="1"/>
  <c r="F57" i="1"/>
  <c r="F37" i="1"/>
  <c r="F52" i="1"/>
  <c r="F35" i="1"/>
  <c r="F38" i="1"/>
  <c r="F32" i="1"/>
  <c r="F31" i="1"/>
  <c r="F26" i="1"/>
  <c r="F30" i="1"/>
  <c r="F71" i="1"/>
  <c r="F40" i="1"/>
  <c r="F39" i="1"/>
  <c r="F67" i="1"/>
  <c r="F72" i="1"/>
  <c r="F69" i="1"/>
  <c r="D37" i="1"/>
  <c r="D40" i="1"/>
  <c r="D66" i="1"/>
  <c r="D34" i="1"/>
  <c r="D51" i="1"/>
  <c r="D74" i="1"/>
  <c r="D65" i="1"/>
  <c r="D15" i="1"/>
  <c r="D48" i="1"/>
  <c r="D73" i="1"/>
  <c r="D60" i="1"/>
  <c r="D71" i="1"/>
  <c r="D45" i="1"/>
  <c r="D18" i="1"/>
  <c r="D54" i="1"/>
  <c r="D39" i="1"/>
  <c r="D16" i="1"/>
  <c r="D55" i="1"/>
  <c r="D29" i="1"/>
  <c r="D43" i="1"/>
  <c r="D50" i="1"/>
  <c r="D61" i="1"/>
  <c r="D53" i="1"/>
  <c r="D24" i="1"/>
  <c r="D33" i="1"/>
  <c r="D27" i="1"/>
  <c r="D56" i="1"/>
  <c r="D17" i="1"/>
  <c r="D70" i="1"/>
  <c r="D30" i="1"/>
  <c r="D47" i="1"/>
  <c r="D62" i="1"/>
  <c r="D32" i="1"/>
  <c r="D22" i="1"/>
  <c r="D41" i="1"/>
  <c r="D46" i="1"/>
  <c r="D44" i="1"/>
  <c r="D20" i="1"/>
  <c r="D67" i="1"/>
  <c r="D35" i="1"/>
  <c r="D28" i="1"/>
  <c r="D36" i="1"/>
  <c r="D52" i="1"/>
  <c r="D13" i="1"/>
  <c r="D21" i="1"/>
  <c r="D12" i="1"/>
  <c r="E12" i="1" s="1"/>
  <c r="D38" i="1"/>
  <c r="D49" i="1"/>
  <c r="D25" i="1"/>
  <c r="D23" i="1"/>
  <c r="D69" i="1"/>
  <c r="D26" i="1"/>
  <c r="D31" i="1"/>
  <c r="D42" i="1"/>
  <c r="D64" i="1"/>
  <c r="D63" i="1"/>
  <c r="D72" i="1"/>
  <c r="D68" i="1"/>
  <c r="D14" i="1"/>
  <c r="D57" i="1"/>
  <c r="D59" i="1"/>
  <c r="D58" i="1"/>
  <c r="O5" i="1"/>
  <c r="D11" i="1"/>
  <c r="F11" i="1"/>
  <c r="J11" i="1"/>
  <c r="D5" i="3"/>
  <c r="F1" i="3"/>
  <c r="R5" i="1"/>
  <c r="Y5" i="1"/>
  <c r="J5" i="3"/>
  <c r="U6" i="1"/>
  <c r="G6" i="3"/>
  <c r="E9" i="3" s="1"/>
  <c r="U5" i="1"/>
  <c r="G5" i="3"/>
  <c r="D1" i="3"/>
  <c r="Y6" i="1"/>
  <c r="J6" i="3"/>
  <c r="H9" i="3" s="1"/>
  <c r="D6" i="3"/>
  <c r="O6" i="1"/>
  <c r="R6" i="1"/>
  <c r="O6" i="3" s="1"/>
  <c r="AB6" i="1"/>
  <c r="W6" i="3" s="1"/>
  <c r="H24" i="3" a="1"/>
  <c r="H41" i="3" a="1"/>
  <c r="H19" i="3" a="1"/>
  <c r="H79" i="3" a="1"/>
  <c r="H101" i="3" a="1"/>
  <c r="H97" i="3" a="1"/>
  <c r="H17" i="3" a="1"/>
  <c r="H11" i="3" a="1"/>
  <c r="E64" i="3" a="1"/>
  <c r="E59" i="3" a="1"/>
  <c r="E36" i="3" a="1"/>
  <c r="E25" i="3" a="1"/>
  <c r="E57" i="3" a="1"/>
  <c r="E95" i="3" a="1"/>
  <c r="E93" i="3" a="1"/>
  <c r="E17" i="3" a="1"/>
  <c r="N43" i="1" a="1"/>
  <c r="N57" i="1" a="1"/>
  <c r="N21" i="1" a="1"/>
  <c r="N72" i="1" a="1"/>
  <c r="N59" i="1" a="1"/>
  <c r="N14" i="1" a="1"/>
  <c r="C98" i="3" a="1"/>
  <c r="C93" i="3" a="1"/>
  <c r="C106" i="3" a="1"/>
  <c r="C109" i="3" a="1"/>
  <c r="C19" i="3" a="1"/>
  <c r="C78" i="3" a="1"/>
  <c r="C69" i="3" a="1"/>
  <c r="C75" i="3" a="1"/>
  <c r="H61" i="3" a="1"/>
  <c r="H86" i="3" a="1"/>
  <c r="H98" i="3" a="1"/>
  <c r="E47" i="3" a="1"/>
  <c r="E84" i="3" a="1"/>
  <c r="E109" i="3" a="1"/>
  <c r="E37" i="3" a="1"/>
  <c r="E66" i="3" a="1"/>
  <c r="E52" i="3" a="1"/>
  <c r="E78" i="3" a="1"/>
  <c r="N69" i="1" a="1"/>
  <c r="N20" i="1" a="1"/>
  <c r="N62" i="1" a="1"/>
  <c r="C103" i="3" a="1"/>
  <c r="C45" i="3" a="1"/>
  <c r="C96" i="3" a="1"/>
  <c r="C79" i="3" a="1"/>
  <c r="H13" i="3" a="1"/>
  <c r="H69" i="3" a="1"/>
  <c r="H20" i="3" a="1"/>
  <c r="H10" i="3" a="1"/>
  <c r="H65" i="3" a="1"/>
  <c r="H40" i="3" a="1"/>
  <c r="H33" i="3" a="1"/>
  <c r="H62" i="3" a="1"/>
  <c r="H15" i="3" a="1"/>
  <c r="H16" i="3" a="1"/>
  <c r="H63" i="3" a="1"/>
  <c r="H30" i="3" a="1"/>
  <c r="E39" i="3" a="1"/>
  <c r="E108" i="3" a="1"/>
  <c r="E19" i="3" a="1"/>
  <c r="E20" i="3" a="1"/>
  <c r="E32" i="3" a="1"/>
  <c r="E46" i="3" a="1"/>
  <c r="E101" i="3" a="1"/>
  <c r="E67" i="3" a="1"/>
  <c r="N64" i="1" a="1"/>
  <c r="N54" i="1" a="1"/>
  <c r="N22" i="1" a="1"/>
  <c r="N25" i="1" a="1"/>
  <c r="N70" i="1" a="1"/>
  <c r="N11" i="1" a="1"/>
  <c r="C15" i="3" a="1"/>
  <c r="C94" i="3" a="1"/>
  <c r="C61" i="3" a="1"/>
  <c r="C44" i="3" a="1"/>
  <c r="C68" i="3" a="1"/>
  <c r="C25" i="3" a="1"/>
  <c r="C101" i="3" a="1"/>
  <c r="C107" i="3" a="1"/>
  <c r="N24" i="1" a="1"/>
  <c r="N18" i="1" a="1"/>
  <c r="C77" i="3" a="1"/>
  <c r="C31" i="3" a="1"/>
  <c r="H88" i="3" a="1"/>
  <c r="H89" i="3" a="1"/>
  <c r="H27" i="3" a="1"/>
  <c r="H106" i="3" a="1"/>
  <c r="H68" i="3" a="1"/>
  <c r="H85" i="3" a="1"/>
  <c r="H28" i="3" a="1"/>
  <c r="H92" i="3" a="1"/>
  <c r="H87" i="3" a="1"/>
  <c r="E96" i="3" a="1"/>
  <c r="E13" i="3" a="1"/>
  <c r="E103" i="3" a="1"/>
  <c r="E22" i="3" a="1"/>
  <c r="E56" i="3" a="1"/>
  <c r="E49" i="3" a="1"/>
  <c r="E72" i="3" a="1"/>
  <c r="E12" i="3" a="1"/>
  <c r="N36" i="1" a="1"/>
  <c r="N38" i="1" a="1"/>
  <c r="N23" i="1" a="1"/>
  <c r="N40" i="1" a="1"/>
  <c r="N65" i="1" a="1"/>
  <c r="C10" i="3" a="1"/>
  <c r="C87" i="3" a="1"/>
  <c r="C28" i="3" a="1"/>
  <c r="C38" i="3" a="1"/>
  <c r="C42" i="3" a="1"/>
  <c r="C30" i="3" a="1"/>
  <c r="C92" i="3" a="1"/>
  <c r="C84" i="3" a="1"/>
  <c r="C90" i="3" a="1"/>
  <c r="H71" i="3" a="1"/>
  <c r="H73" i="3" a="1"/>
  <c r="H100" i="3" a="1"/>
  <c r="H14" i="3" a="1"/>
  <c r="H18" i="3" a="1"/>
  <c r="E97" i="3" a="1"/>
  <c r="E14" i="3" a="1"/>
  <c r="E40" i="3" a="1"/>
  <c r="E11" i="3" a="1"/>
  <c r="E105" i="3" a="1"/>
  <c r="N13" i="1" a="1"/>
  <c r="N12" i="1" a="1"/>
  <c r="N61" i="1" a="1"/>
  <c r="C12" i="3" a="1"/>
  <c r="C74" i="3" a="1"/>
  <c r="C57" i="3" a="1"/>
  <c r="C56" i="3" a="1"/>
  <c r="H57" i="3" a="1"/>
  <c r="H110" i="3" a="1"/>
  <c r="H96" i="3" a="1"/>
  <c r="H48" i="3" a="1"/>
  <c r="E18" i="3" a="1"/>
  <c r="E31" i="3" a="1"/>
  <c r="E106" i="3" a="1"/>
  <c r="H76" i="3" a="1"/>
  <c r="H22" i="3" a="1"/>
  <c r="H60" i="3" a="1"/>
  <c r="H37" i="3" a="1"/>
  <c r="H84" i="3" a="1"/>
  <c r="H74" i="3" a="1"/>
  <c r="H38" i="3" a="1"/>
  <c r="H42" i="3" a="1"/>
  <c r="H51" i="3" a="1"/>
  <c r="E85" i="3" a="1"/>
  <c r="E34" i="3" a="1"/>
  <c r="E110" i="3" a="1"/>
  <c r="E33" i="3" a="1"/>
  <c r="E60" i="3" a="1"/>
  <c r="E44" i="3" a="1"/>
  <c r="E61" i="3" a="1"/>
  <c r="E35" i="3" a="1"/>
  <c r="N33" i="1" a="1"/>
  <c r="N16" i="1" a="1"/>
  <c r="N37" i="1" a="1"/>
  <c r="N52" i="1" a="1"/>
  <c r="N67" i="1" a="1"/>
  <c r="C88" i="3" a="1"/>
  <c r="C70" i="3" a="1"/>
  <c r="C55" i="3" a="1"/>
  <c r="C18" i="3" a="1"/>
  <c r="H12" i="3" a="1"/>
  <c r="H94" i="3" a="1"/>
  <c r="H67" i="3" a="1"/>
  <c r="H32" i="3" a="1"/>
  <c r="H43" i="3" a="1"/>
  <c r="H80" i="3" a="1"/>
  <c r="H90" i="3" a="1"/>
  <c r="H105" i="3" a="1"/>
  <c r="H104" i="3" a="1"/>
  <c r="E73" i="3" a="1"/>
  <c r="E104" i="3" a="1"/>
  <c r="E102" i="3" a="1"/>
  <c r="E26" i="3" a="1"/>
  <c r="E28" i="3" a="1"/>
  <c r="E80" i="3" a="1"/>
  <c r="E23" i="3" a="1"/>
  <c r="E27" i="3" a="1"/>
  <c r="N45" i="1" a="1"/>
  <c r="N17" i="1" a="1"/>
  <c r="N50" i="1" a="1"/>
  <c r="N58" i="1" a="1"/>
  <c r="N26" i="1" a="1"/>
  <c r="C41" i="3" a="1"/>
  <c r="C108" i="3" a="1"/>
  <c r="C32" i="3" a="1"/>
  <c r="C20" i="3" a="1"/>
  <c r="C36" i="3" a="1"/>
  <c r="C51" i="3" a="1"/>
  <c r="C34" i="3" a="1"/>
  <c r="C104" i="3" a="1"/>
  <c r="C110" i="3" a="1"/>
  <c r="E10" i="3" a="1"/>
  <c r="E86" i="3" a="1"/>
  <c r="E53" i="3" a="1"/>
  <c r="E16" i="3" a="1"/>
  <c r="E58" i="3" a="1"/>
  <c r="E43" i="3" a="1"/>
  <c r="E100" i="3" a="1"/>
  <c r="E50" i="3" a="1"/>
  <c r="E90" i="3" a="1"/>
  <c r="N27" i="1" a="1"/>
  <c r="N53" i="1" a="1"/>
  <c r="N29" i="1" a="1"/>
  <c r="N39" i="1" a="1"/>
  <c r="N28" i="1" a="1"/>
  <c r="C16" i="3" a="1"/>
  <c r="C64" i="3" a="1"/>
  <c r="C58" i="3" a="1"/>
  <c r="C33" i="3" a="1"/>
  <c r="H77" i="3" a="1"/>
  <c r="H78" i="3" a="1"/>
  <c r="H49" i="3" a="1"/>
  <c r="H75" i="3" a="1"/>
  <c r="H34" i="3" a="1"/>
  <c r="H58" i="3" a="1"/>
  <c r="H93" i="3" a="1"/>
  <c r="H70" i="3" a="1"/>
  <c r="H35" i="3" a="1"/>
  <c r="H36" i="3" a="1"/>
  <c r="H50" i="3" a="1"/>
  <c r="H46" i="3" a="1"/>
  <c r="H55" i="3" a="1"/>
  <c r="H53" i="3" a="1"/>
  <c r="H99" i="3" a="1"/>
  <c r="H107" i="3" a="1"/>
  <c r="E94" i="3" a="1"/>
  <c r="E70" i="3" a="1"/>
  <c r="E63" i="3" a="1"/>
  <c r="E88" i="3" a="1"/>
  <c r="E48" i="3" a="1"/>
  <c r="E74" i="3" a="1"/>
  <c r="E51" i="3" a="1"/>
  <c r="E92" i="3" a="1"/>
  <c r="E41" i="3" a="1"/>
  <c r="N51" i="1" a="1"/>
  <c r="N66" i="1" a="1"/>
  <c r="N35" i="1" a="1"/>
  <c r="N49" i="1" a="1"/>
  <c r="N15" i="1" a="1"/>
  <c r="C102" i="3" a="1"/>
  <c r="C49" i="3" a="1"/>
  <c r="C27" i="3" a="1"/>
  <c r="C105" i="3" a="1"/>
  <c r="C100" i="3" a="1"/>
  <c r="C22" i="3" a="1"/>
  <c r="C60" i="3" a="1"/>
  <c r="C71" i="3" a="1"/>
  <c r="E69" i="3" a="1"/>
  <c r="E79" i="3" a="1"/>
  <c r="N42" i="1" a="1"/>
  <c r="N56" i="1" a="1"/>
  <c r="C40" i="3" a="1"/>
  <c r="C89" i="3" a="1"/>
  <c r="C85" i="3" a="1"/>
  <c r="C73" i="3" a="1"/>
  <c r="H102" i="3" a="1"/>
  <c r="C97" i="3" a="1"/>
  <c r="C29" i="3" a="1"/>
  <c r="C91" i="3" a="1"/>
  <c r="C80" i="3" a="1"/>
  <c r="H21" i="3" a="1"/>
  <c r="H31" i="3" a="1"/>
  <c r="H56" i="3" a="1"/>
  <c r="H23" i="3" a="1"/>
  <c r="H44" i="3" a="1"/>
  <c r="H45" i="3" a="1"/>
  <c r="H64" i="3" a="1"/>
  <c r="H59" i="3" a="1"/>
  <c r="E107" i="3" a="1"/>
  <c r="E91" i="3" a="1"/>
  <c r="E24" i="3" a="1"/>
  <c r="E71" i="3" a="1"/>
  <c r="E75" i="3" a="1"/>
  <c r="E81" i="3" a="1"/>
  <c r="E45" i="3" a="1"/>
  <c r="N44" i="1" a="1"/>
  <c r="N55" i="1" a="1"/>
  <c r="N46" i="1" a="1"/>
  <c r="C26" i="3" a="1"/>
  <c r="C99" i="3" a="1"/>
  <c r="C65" i="3" a="1"/>
  <c r="C63" i="3" a="1"/>
  <c r="H39" i="3" a="1"/>
  <c r="H47" i="3" a="1"/>
  <c r="E98" i="3" a="1"/>
  <c r="E42" i="3" a="1"/>
  <c r="E87" i="3" a="1"/>
  <c r="E89" i="3" a="1"/>
  <c r="E55" i="3" a="1"/>
  <c r="N32" i="1" a="1"/>
  <c r="N48" i="1" a="1"/>
  <c r="N41" i="1" a="1"/>
  <c r="N71" i="1" a="1"/>
  <c r="C43" i="3" a="1"/>
  <c r="C59" i="3" a="1"/>
  <c r="C24" i="3" a="1"/>
  <c r="C72" i="3" a="1"/>
  <c r="N73" i="1" a="1"/>
  <c r="C53" i="3" a="1"/>
  <c r="C23" i="3" a="1"/>
  <c r="C47" i="3" a="1"/>
  <c r="C50" i="3" a="1"/>
  <c r="H82" i="3" a="1"/>
  <c r="H95" i="3" a="1"/>
  <c r="H66" i="3" a="1"/>
  <c r="H81" i="3" a="1"/>
  <c r="H83" i="3" a="1"/>
  <c r="E29" i="3" a="1"/>
  <c r="E82" i="3" a="1"/>
  <c r="E83" i="3" a="1"/>
  <c r="E77" i="3" a="1"/>
  <c r="N60" i="1" a="1"/>
  <c r="C81" i="3" a="1"/>
  <c r="C11" i="3" a="1"/>
  <c r="C62" i="3" a="1"/>
  <c r="C13" i="3" a="1"/>
  <c r="N31" i="1" a="1"/>
  <c r="C67" i="3" a="1"/>
  <c r="C82" i="3" a="1"/>
  <c r="C46" i="3" a="1"/>
  <c r="C86" i="3" a="1"/>
  <c r="H54" i="3" a="1"/>
  <c r="H26" i="3" a="1"/>
  <c r="H25" i="3" a="1"/>
  <c r="H72" i="3" a="1"/>
  <c r="H52" i="3" a="1"/>
  <c r="H91" i="3" a="1"/>
  <c r="H29" i="3" a="1"/>
  <c r="H109" i="3" a="1"/>
  <c r="E62" i="3" a="1"/>
  <c r="E76" i="3" a="1"/>
  <c r="E65" i="3" a="1"/>
  <c r="E15" i="3" a="1"/>
  <c r="E54" i="3" a="1"/>
  <c r="E21" i="3" a="1"/>
  <c r="E38" i="3" a="1"/>
  <c r="E99" i="3" a="1"/>
  <c r="E68" i="3" a="1"/>
  <c r="N63" i="1" a="1"/>
  <c r="N68" i="1" a="1"/>
  <c r="N74" i="1" a="1"/>
  <c r="N47" i="1" a="1"/>
  <c r="N30" i="1" a="1"/>
  <c r="C14" i="3" a="1"/>
  <c r="C21" i="3" a="1"/>
  <c r="C17" i="3" a="1"/>
  <c r="C35" i="3" a="1"/>
  <c r="C48" i="3" a="1"/>
  <c r="C95" i="3" a="1"/>
  <c r="C52" i="3" a="1"/>
  <c r="C76" i="3" a="1"/>
  <c r="H108" i="3" a="1"/>
  <c r="H103" i="3" a="1"/>
  <c r="E30" i="3" a="1"/>
  <c r="N34" i="1" a="1"/>
  <c r="C39" i="3" a="1"/>
  <c r="C54" i="3" a="1"/>
  <c r="C66" i="3" a="1"/>
  <c r="C37" i="3" a="1"/>
  <c r="C83" i="3" a="1"/>
  <c r="E68" i="1" l="1"/>
  <c r="H69" i="1"/>
  <c r="H25" i="1"/>
  <c r="U6" i="3"/>
  <c r="S9" i="3" s="1"/>
  <c r="W9" i="1"/>
  <c r="R6" i="3"/>
  <c r="P9" i="3" s="1"/>
  <c r="S9" i="1"/>
  <c r="H104" i="3"/>
  <c r="H51" i="3"/>
  <c r="H18" i="3"/>
  <c r="H87" i="3"/>
  <c r="H30" i="3"/>
  <c r="H98" i="3"/>
  <c r="H11" i="3"/>
  <c r="H109" i="3"/>
  <c r="H47" i="3"/>
  <c r="H59" i="3"/>
  <c r="H107" i="3"/>
  <c r="H70" i="3"/>
  <c r="H105" i="3"/>
  <c r="H42" i="3"/>
  <c r="H14" i="3"/>
  <c r="H92" i="3"/>
  <c r="H63" i="3"/>
  <c r="H103" i="3"/>
  <c r="H17" i="3"/>
  <c r="H29" i="3"/>
  <c r="H83" i="3"/>
  <c r="H64" i="3"/>
  <c r="H99" i="3"/>
  <c r="H93" i="3"/>
  <c r="H90" i="3"/>
  <c r="H38" i="3"/>
  <c r="H100" i="3"/>
  <c r="H28" i="3"/>
  <c r="H16" i="3"/>
  <c r="H86" i="3"/>
  <c r="H97" i="3"/>
  <c r="H91" i="3"/>
  <c r="H39" i="3"/>
  <c r="H45" i="3"/>
  <c r="H53" i="3"/>
  <c r="H58" i="3"/>
  <c r="H80" i="3"/>
  <c r="H74" i="3"/>
  <c r="H73" i="3"/>
  <c r="H85" i="3"/>
  <c r="H15" i="3"/>
  <c r="H108" i="3"/>
  <c r="H101" i="3"/>
  <c r="H52" i="3"/>
  <c r="H81" i="3"/>
  <c r="H44" i="3"/>
  <c r="H55" i="3"/>
  <c r="H34" i="3"/>
  <c r="H43" i="3"/>
  <c r="H84" i="3"/>
  <c r="H71" i="3"/>
  <c r="H68" i="3"/>
  <c r="H62" i="3"/>
  <c r="H61" i="3"/>
  <c r="H79" i="3"/>
  <c r="H72" i="3"/>
  <c r="H102" i="3"/>
  <c r="H23" i="3"/>
  <c r="H46" i="3"/>
  <c r="H75" i="3"/>
  <c r="H32" i="3"/>
  <c r="H37" i="3"/>
  <c r="H48" i="3"/>
  <c r="H106" i="3"/>
  <c r="H33" i="3"/>
  <c r="H20" i="3"/>
  <c r="H19" i="3"/>
  <c r="H25" i="3"/>
  <c r="H66" i="3"/>
  <c r="H56" i="3"/>
  <c r="H50" i="3"/>
  <c r="H49" i="3"/>
  <c r="H67" i="3"/>
  <c r="H60" i="3"/>
  <c r="H96" i="3"/>
  <c r="H27" i="3"/>
  <c r="H40" i="3"/>
  <c r="H69" i="3"/>
  <c r="H41" i="3"/>
  <c r="H26" i="3"/>
  <c r="H95" i="3"/>
  <c r="H31" i="3"/>
  <c r="H36" i="3"/>
  <c r="H78" i="3"/>
  <c r="H94" i="3"/>
  <c r="H22" i="3"/>
  <c r="H110" i="3"/>
  <c r="H89" i="3"/>
  <c r="H65" i="3"/>
  <c r="H13" i="3"/>
  <c r="H24" i="3"/>
  <c r="H54" i="3"/>
  <c r="H82" i="3"/>
  <c r="H21" i="3"/>
  <c r="H35" i="3"/>
  <c r="H77" i="3"/>
  <c r="H12" i="3"/>
  <c r="H76" i="3"/>
  <c r="H57" i="3"/>
  <c r="H88" i="3"/>
  <c r="J75" i="1"/>
  <c r="L75" i="1" s="1"/>
  <c r="E25" i="1"/>
  <c r="E44" i="1"/>
  <c r="E33" i="1"/>
  <c r="E45" i="1"/>
  <c r="E59" i="1"/>
  <c r="E14" i="1"/>
  <c r="E38" i="1"/>
  <c r="E41" i="1"/>
  <c r="E53" i="1"/>
  <c r="E60" i="1"/>
  <c r="H66" i="1"/>
  <c r="E68" i="3"/>
  <c r="E55" i="3"/>
  <c r="E79" i="3"/>
  <c r="E41" i="3"/>
  <c r="E90" i="3"/>
  <c r="E27" i="3"/>
  <c r="E35" i="3"/>
  <c r="E105" i="3"/>
  <c r="E12" i="3"/>
  <c r="E67" i="3"/>
  <c r="E78" i="3"/>
  <c r="E17" i="3"/>
  <c r="E99" i="3"/>
  <c r="E77" i="3"/>
  <c r="E45" i="3"/>
  <c r="E92" i="3"/>
  <c r="E50" i="3"/>
  <c r="E23" i="3"/>
  <c r="E61" i="3"/>
  <c r="E11" i="3"/>
  <c r="E72" i="3"/>
  <c r="E101" i="3"/>
  <c r="E52" i="3"/>
  <c r="E93" i="3"/>
  <c r="E38" i="3"/>
  <c r="E89" i="3"/>
  <c r="E81" i="3"/>
  <c r="E51" i="3"/>
  <c r="E100" i="3"/>
  <c r="E80" i="3"/>
  <c r="E44" i="3"/>
  <c r="E40" i="3"/>
  <c r="E49" i="3"/>
  <c r="E46" i="3"/>
  <c r="E66" i="3"/>
  <c r="E95" i="3"/>
  <c r="E21" i="3"/>
  <c r="E87" i="3"/>
  <c r="E69" i="3"/>
  <c r="E74" i="3"/>
  <c r="E43" i="3"/>
  <c r="E28" i="3"/>
  <c r="E60" i="3"/>
  <c r="E106" i="3"/>
  <c r="E56" i="3"/>
  <c r="E32" i="3"/>
  <c r="E37" i="3"/>
  <c r="E57" i="3"/>
  <c r="E54" i="3"/>
  <c r="E83" i="3"/>
  <c r="E75" i="3"/>
  <c r="E48" i="3"/>
  <c r="E58" i="3"/>
  <c r="E26" i="3"/>
  <c r="E33" i="3"/>
  <c r="E31" i="3"/>
  <c r="E22" i="3"/>
  <c r="E20" i="3"/>
  <c r="E109" i="3"/>
  <c r="E25" i="3"/>
  <c r="E15" i="3"/>
  <c r="E42" i="3"/>
  <c r="E71" i="3"/>
  <c r="E88" i="3"/>
  <c r="E16" i="3"/>
  <c r="E102" i="3"/>
  <c r="E110" i="3"/>
  <c r="E14" i="3"/>
  <c r="E103" i="3"/>
  <c r="E19" i="3"/>
  <c r="E84" i="3"/>
  <c r="E36" i="3"/>
  <c r="E65" i="3"/>
  <c r="E82" i="3"/>
  <c r="E24" i="3"/>
  <c r="E63" i="3"/>
  <c r="E53" i="3"/>
  <c r="E104" i="3"/>
  <c r="E34" i="3"/>
  <c r="E97" i="3"/>
  <c r="E13" i="3"/>
  <c r="E108" i="3"/>
  <c r="E30" i="3"/>
  <c r="E59" i="3"/>
  <c r="E76" i="3"/>
  <c r="E98" i="3"/>
  <c r="E91" i="3"/>
  <c r="E70" i="3"/>
  <c r="E86" i="3"/>
  <c r="E73" i="3"/>
  <c r="E85" i="3"/>
  <c r="E18" i="3"/>
  <c r="E96" i="3"/>
  <c r="E39" i="3"/>
  <c r="E47" i="3"/>
  <c r="E64" i="3"/>
  <c r="E62" i="3"/>
  <c r="E29" i="3"/>
  <c r="E107" i="3"/>
  <c r="E94" i="3"/>
  <c r="H38" i="1"/>
  <c r="F75" i="1"/>
  <c r="H75" i="1" s="1"/>
  <c r="E22" i="1"/>
  <c r="E69" i="1"/>
  <c r="E61" i="1"/>
  <c r="C86" i="3"/>
  <c r="C110" i="3"/>
  <c r="C37" i="3"/>
  <c r="C96" i="3"/>
  <c r="C90" i="3"/>
  <c r="C107" i="3"/>
  <c r="C29" i="3"/>
  <c r="C75" i="3"/>
  <c r="C76" i="3"/>
  <c r="C13" i="3"/>
  <c r="C73" i="3"/>
  <c r="C71" i="3"/>
  <c r="C80" i="3"/>
  <c r="C104" i="3"/>
  <c r="C31" i="3"/>
  <c r="C66" i="3"/>
  <c r="C84" i="3"/>
  <c r="C101" i="3"/>
  <c r="C23" i="3"/>
  <c r="C69" i="3"/>
  <c r="C52" i="3"/>
  <c r="C62" i="3"/>
  <c r="C85" i="3"/>
  <c r="C60" i="3"/>
  <c r="C56" i="3"/>
  <c r="C34" i="3"/>
  <c r="C46" i="3"/>
  <c r="C74" i="3"/>
  <c r="C92" i="3"/>
  <c r="C25" i="3"/>
  <c r="C54" i="3"/>
  <c r="C78" i="3"/>
  <c r="C95" i="3"/>
  <c r="C11" i="3"/>
  <c r="C63" i="3"/>
  <c r="C22" i="3"/>
  <c r="C83" i="3"/>
  <c r="C51" i="3"/>
  <c r="C79" i="3"/>
  <c r="C77" i="3"/>
  <c r="C30" i="3"/>
  <c r="C68" i="3"/>
  <c r="C97" i="3"/>
  <c r="C19" i="3"/>
  <c r="C48" i="3"/>
  <c r="C72" i="3"/>
  <c r="C89" i="3"/>
  <c r="C100" i="3"/>
  <c r="C57" i="3"/>
  <c r="C36" i="3"/>
  <c r="C82" i="3"/>
  <c r="C45" i="3"/>
  <c r="C42" i="3"/>
  <c r="C44" i="3"/>
  <c r="C67" i="3"/>
  <c r="C109" i="3"/>
  <c r="C35" i="3"/>
  <c r="C24" i="3"/>
  <c r="C65" i="3"/>
  <c r="C105" i="3"/>
  <c r="C33" i="3"/>
  <c r="C20" i="3"/>
  <c r="C18" i="3"/>
  <c r="C50" i="3"/>
  <c r="C38" i="3"/>
  <c r="C61" i="3"/>
  <c r="C103" i="3"/>
  <c r="C106" i="3"/>
  <c r="C17" i="3"/>
  <c r="C59" i="3"/>
  <c r="C99" i="3"/>
  <c r="C27" i="3"/>
  <c r="C58" i="3"/>
  <c r="C32" i="3"/>
  <c r="C55" i="3"/>
  <c r="C91" i="3"/>
  <c r="C28" i="3"/>
  <c r="C94" i="3"/>
  <c r="C53" i="3"/>
  <c r="C93" i="3"/>
  <c r="C21" i="3"/>
  <c r="C81" i="3"/>
  <c r="C26" i="3"/>
  <c r="C49" i="3"/>
  <c r="C64" i="3"/>
  <c r="C108" i="3"/>
  <c r="C70" i="3"/>
  <c r="C47" i="3"/>
  <c r="C87" i="3"/>
  <c r="C15" i="3"/>
  <c r="C39" i="3"/>
  <c r="C98" i="3"/>
  <c r="C14" i="3"/>
  <c r="C43" i="3"/>
  <c r="C40" i="3"/>
  <c r="C102" i="3"/>
  <c r="C16" i="3"/>
  <c r="C41" i="3"/>
  <c r="C88" i="3"/>
  <c r="C12" i="3"/>
  <c r="N62" i="1"/>
  <c r="N14" i="1"/>
  <c r="N30" i="1"/>
  <c r="N71" i="1"/>
  <c r="N46" i="1"/>
  <c r="N15" i="1"/>
  <c r="N28" i="1"/>
  <c r="N26" i="1"/>
  <c r="N67" i="1"/>
  <c r="N18" i="1"/>
  <c r="N65" i="1"/>
  <c r="N70" i="1"/>
  <c r="N31" i="1"/>
  <c r="N59" i="1"/>
  <c r="N47" i="1"/>
  <c r="N60" i="1"/>
  <c r="N56" i="1"/>
  <c r="N49" i="1"/>
  <c r="N39" i="1"/>
  <c r="N58" i="1"/>
  <c r="N52" i="1"/>
  <c r="N61" i="1"/>
  <c r="N40" i="1"/>
  <c r="N25" i="1"/>
  <c r="N73" i="1"/>
  <c r="N72" i="1"/>
  <c r="N74" i="1"/>
  <c r="N41" i="1"/>
  <c r="N55" i="1"/>
  <c r="N35" i="1"/>
  <c r="N29" i="1"/>
  <c r="N50" i="1"/>
  <c r="N37" i="1"/>
  <c r="N12" i="1"/>
  <c r="N23" i="1"/>
  <c r="N22" i="1"/>
  <c r="N20" i="1"/>
  <c r="N21" i="1"/>
  <c r="N68" i="1"/>
  <c r="N48" i="1"/>
  <c r="N44" i="1"/>
  <c r="N66" i="1"/>
  <c r="N53" i="1"/>
  <c r="N17" i="1"/>
  <c r="N16" i="1"/>
  <c r="N24" i="1"/>
  <c r="N38" i="1"/>
  <c r="N54" i="1"/>
  <c r="N69" i="1"/>
  <c r="N57" i="1"/>
  <c r="N63" i="1"/>
  <c r="N32" i="1"/>
  <c r="N42" i="1"/>
  <c r="N51" i="1"/>
  <c r="N27" i="1"/>
  <c r="N45" i="1"/>
  <c r="N33" i="1"/>
  <c r="N13" i="1"/>
  <c r="N36" i="1"/>
  <c r="N64" i="1"/>
  <c r="N34" i="1"/>
  <c r="N43" i="1"/>
  <c r="E57" i="1"/>
  <c r="E49" i="1"/>
  <c r="E46" i="1"/>
  <c r="E24" i="1"/>
  <c r="E71" i="1"/>
  <c r="E64" i="1"/>
  <c r="E52" i="1"/>
  <c r="E47" i="1"/>
  <c r="E29" i="1"/>
  <c r="E65" i="1"/>
  <c r="E73" i="1"/>
  <c r="E72" i="1"/>
  <c r="E21" i="1"/>
  <c r="E32" i="1"/>
  <c r="E50" i="1"/>
  <c r="E48" i="1"/>
  <c r="E63" i="1"/>
  <c r="E13" i="1"/>
  <c r="E62" i="1"/>
  <c r="E43" i="1"/>
  <c r="E15" i="1"/>
  <c r="E42" i="1"/>
  <c r="E36" i="1"/>
  <c r="E30" i="1"/>
  <c r="E55" i="1"/>
  <c r="E74" i="1"/>
  <c r="E31" i="1"/>
  <c r="E28" i="1"/>
  <c r="E70" i="1"/>
  <c r="E16" i="1"/>
  <c r="E51" i="1"/>
  <c r="E26" i="1"/>
  <c r="E35" i="1"/>
  <c r="E17" i="1"/>
  <c r="E39" i="1"/>
  <c r="E34" i="1"/>
  <c r="E67" i="1"/>
  <c r="E56" i="1"/>
  <c r="E54" i="1"/>
  <c r="D75" i="1"/>
  <c r="E75" i="1" s="1"/>
  <c r="E66" i="1"/>
  <c r="E58" i="1"/>
  <c r="E23" i="1"/>
  <c r="E20" i="1"/>
  <c r="E27" i="1"/>
  <c r="E18" i="1"/>
  <c r="E40" i="1"/>
  <c r="E37" i="1"/>
  <c r="L34" i="1"/>
  <c r="H68" i="1"/>
  <c r="H36" i="1"/>
  <c r="H21" i="1"/>
  <c r="H60" i="1"/>
  <c r="H62" i="1"/>
  <c r="H70" i="1"/>
  <c r="H54" i="1"/>
  <c r="H17" i="1"/>
  <c r="H73" i="1"/>
  <c r="H29" i="1"/>
  <c r="H63" i="1"/>
  <c r="H50" i="1"/>
  <c r="H67" i="1"/>
  <c r="H11" i="1"/>
  <c r="H24" i="1"/>
  <c r="H53" i="1"/>
  <c r="H47" i="1"/>
  <c r="H22" i="1"/>
  <c r="H55" i="1"/>
  <c r="H46" i="1"/>
  <c r="H57" i="1"/>
  <c r="H45" i="1"/>
  <c r="H34" i="1"/>
  <c r="H74" i="1"/>
  <c r="H27" i="1"/>
  <c r="H61" i="1"/>
  <c r="H23" i="1"/>
  <c r="H51" i="1"/>
  <c r="H16" i="1"/>
  <c r="H56" i="1"/>
  <c r="H42" i="1"/>
  <c r="H49" i="1"/>
  <c r="L31" i="1"/>
  <c r="H28" i="1"/>
  <c r="L57" i="1"/>
  <c r="L15" i="1"/>
  <c r="H44" i="1"/>
  <c r="H33" i="1"/>
  <c r="H48" i="1"/>
  <c r="L45" i="1"/>
  <c r="L62" i="1"/>
  <c r="H32" i="1"/>
  <c r="H18" i="1"/>
  <c r="L25" i="1"/>
  <c r="H58" i="1"/>
  <c r="L66" i="1"/>
  <c r="L46" i="1"/>
  <c r="H72" i="1"/>
  <c r="L49" i="1"/>
  <c r="H35" i="1"/>
  <c r="H59" i="1"/>
  <c r="H15" i="1"/>
  <c r="H26" i="1"/>
  <c r="L67" i="1"/>
  <c r="L59" i="1"/>
  <c r="L44" i="1"/>
  <c r="L27" i="1"/>
  <c r="L56" i="1"/>
  <c r="L37" i="1"/>
  <c r="L17" i="1"/>
  <c r="L54" i="1"/>
  <c r="L39" i="1"/>
  <c r="L60" i="1"/>
  <c r="L42" i="1"/>
  <c r="L47" i="1"/>
  <c r="L18" i="1"/>
  <c r="L63" i="1"/>
  <c r="L48" i="1"/>
  <c r="L74" i="1"/>
  <c r="L41" i="1"/>
  <c r="L53" i="1"/>
  <c r="L70" i="1"/>
  <c r="H39" i="1"/>
  <c r="L16" i="1"/>
  <c r="L71" i="1"/>
  <c r="L32" i="1"/>
  <c r="L14" i="1"/>
  <c r="L58" i="1"/>
  <c r="L29" i="1"/>
  <c r="L43" i="1"/>
  <c r="H20" i="1"/>
  <c r="L52" i="1"/>
  <c r="L51" i="1"/>
  <c r="L40" i="1"/>
  <c r="L33" i="1"/>
  <c r="L26" i="1"/>
  <c r="C10" i="3"/>
  <c r="H10" i="3"/>
  <c r="E10" i="3"/>
  <c r="N11" i="1"/>
  <c r="K12" i="1"/>
  <c r="M12" i="1"/>
  <c r="D10" i="1"/>
  <c r="G12" i="1"/>
  <c r="I12" i="1"/>
  <c r="I27" i="1"/>
  <c r="M27" i="1"/>
  <c r="K27" i="1"/>
  <c r="G27" i="1"/>
  <c r="I33" i="1"/>
  <c r="G33" i="1"/>
  <c r="M33" i="1"/>
  <c r="K33" i="1"/>
  <c r="M58" i="1"/>
  <c r="I58" i="1"/>
  <c r="K58" i="1"/>
  <c r="G58" i="1"/>
  <c r="I51" i="1"/>
  <c r="G51" i="1"/>
  <c r="K51" i="1"/>
  <c r="M51" i="1"/>
  <c r="M11" i="1"/>
  <c r="K11" i="1"/>
  <c r="I11" i="1"/>
  <c r="G11" i="1"/>
  <c r="E11" i="1"/>
  <c r="M60" i="1"/>
  <c r="K60" i="1"/>
  <c r="I60" i="1"/>
  <c r="G60" i="1"/>
  <c r="G22" i="1"/>
  <c r="M22" i="1"/>
  <c r="K22" i="1"/>
  <c r="I22" i="1"/>
  <c r="M32" i="1"/>
  <c r="G32" i="1"/>
  <c r="K32" i="1"/>
  <c r="I32" i="1"/>
  <c r="L61" i="1"/>
  <c r="I23" i="1"/>
  <c r="G23" i="1"/>
  <c r="K23" i="1"/>
  <c r="M23" i="1"/>
  <c r="M67" i="1"/>
  <c r="K67" i="1"/>
  <c r="G67" i="1"/>
  <c r="I67" i="1"/>
  <c r="L65" i="1"/>
  <c r="K72" i="1"/>
  <c r="I72" i="1"/>
  <c r="M72" i="1"/>
  <c r="G72" i="1"/>
  <c r="M62" i="1"/>
  <c r="K62" i="1"/>
  <c r="I62" i="1"/>
  <c r="G62" i="1"/>
  <c r="H41" i="1"/>
  <c r="K70" i="1"/>
  <c r="M70" i="1"/>
  <c r="I70" i="1"/>
  <c r="G70" i="1"/>
  <c r="K50" i="1"/>
  <c r="M50" i="1"/>
  <c r="G50" i="1"/>
  <c r="I50" i="1"/>
  <c r="G66" i="1"/>
  <c r="I66" i="1"/>
  <c r="M66" i="1"/>
  <c r="K66" i="1"/>
  <c r="G53" i="1"/>
  <c r="K53" i="1"/>
  <c r="I53" i="1"/>
  <c r="M53" i="1"/>
  <c r="K28" i="1"/>
  <c r="M28" i="1"/>
  <c r="G28" i="1"/>
  <c r="I28" i="1"/>
  <c r="K42" i="1"/>
  <c r="I42" i="1"/>
  <c r="M42" i="1"/>
  <c r="G42" i="1"/>
  <c r="I45" i="1"/>
  <c r="G45" i="1"/>
  <c r="M45" i="1"/>
  <c r="K45" i="1"/>
  <c r="G55" i="1"/>
  <c r="I55" i="1"/>
  <c r="K55" i="1"/>
  <c r="M55" i="1"/>
  <c r="M63" i="1"/>
  <c r="K63" i="1"/>
  <c r="G63" i="1"/>
  <c r="I63" i="1"/>
  <c r="G29" i="1"/>
  <c r="I29" i="1"/>
  <c r="K29" i="1"/>
  <c r="M29" i="1"/>
  <c r="G31" i="1"/>
  <c r="M31" i="1"/>
  <c r="I31" i="1"/>
  <c r="K31" i="1"/>
  <c r="M37" i="1"/>
  <c r="K37" i="1"/>
  <c r="I37" i="1"/>
  <c r="G37" i="1"/>
  <c r="G41" i="1"/>
  <c r="I41" i="1"/>
  <c r="K41" i="1"/>
  <c r="M41" i="1"/>
  <c r="K25" i="1"/>
  <c r="M25" i="1"/>
  <c r="I25" i="1"/>
  <c r="G25" i="1"/>
  <c r="L72" i="1"/>
  <c r="K39" i="1"/>
  <c r="G39" i="1"/>
  <c r="I39" i="1"/>
  <c r="M39" i="1"/>
  <c r="I18" i="1"/>
  <c r="G18" i="1"/>
  <c r="K18" i="1"/>
  <c r="M18" i="1"/>
  <c r="G16" i="1"/>
  <c r="I16" i="1"/>
  <c r="M16" i="1"/>
  <c r="K16" i="1"/>
  <c r="G68" i="1"/>
  <c r="I68" i="1"/>
  <c r="K68" i="1"/>
  <c r="M68" i="1"/>
  <c r="L50" i="1"/>
  <c r="H43" i="1"/>
  <c r="I36" i="1"/>
  <c r="G36" i="1"/>
  <c r="K36" i="1"/>
  <c r="M36" i="1"/>
  <c r="I57" i="1"/>
  <c r="M57" i="1"/>
  <c r="G57" i="1"/>
  <c r="K57" i="1"/>
  <c r="R5" i="3"/>
  <c r="I24" i="1"/>
  <c r="G24" i="1"/>
  <c r="K24" i="1"/>
  <c r="M24" i="1"/>
  <c r="G74" i="1"/>
  <c r="K74" i="1"/>
  <c r="I74" i="1"/>
  <c r="M74" i="1"/>
  <c r="I43" i="1"/>
  <c r="G43" i="1"/>
  <c r="M43" i="1"/>
  <c r="K43" i="1"/>
  <c r="K56" i="1"/>
  <c r="M56" i="1"/>
  <c r="I56" i="1"/>
  <c r="G56" i="1"/>
  <c r="L28" i="1"/>
  <c r="L55" i="1"/>
  <c r="I46" i="1"/>
  <c r="G46" i="1"/>
  <c r="M46" i="1"/>
  <c r="K46" i="1"/>
  <c r="F10" i="1"/>
  <c r="H12" i="1"/>
  <c r="H14" i="1"/>
  <c r="L20" i="1"/>
  <c r="L36" i="1"/>
  <c r="H37" i="1"/>
  <c r="L38" i="1"/>
  <c r="G14" i="1"/>
  <c r="I14" i="1"/>
  <c r="M14" i="1"/>
  <c r="K14" i="1"/>
  <c r="G65" i="1"/>
  <c r="I65" i="1"/>
  <c r="M65" i="1"/>
  <c r="K65" i="1"/>
  <c r="G35" i="1"/>
  <c r="M35" i="1"/>
  <c r="K35" i="1"/>
  <c r="I35" i="1"/>
  <c r="I69" i="1"/>
  <c r="G69" i="1"/>
  <c r="M69" i="1"/>
  <c r="K69" i="1"/>
  <c r="I71" i="1"/>
  <c r="G71" i="1"/>
  <c r="M71" i="1"/>
  <c r="K71" i="1"/>
  <c r="K15" i="1"/>
  <c r="M15" i="1"/>
  <c r="G15" i="1"/>
  <c r="I15" i="1"/>
  <c r="I38" i="1"/>
  <c r="G38" i="1"/>
  <c r="K38" i="1"/>
  <c r="M38" i="1"/>
  <c r="K47" i="1"/>
  <c r="I47" i="1"/>
  <c r="M47" i="1"/>
  <c r="G47" i="1"/>
  <c r="U5" i="3"/>
  <c r="H65" i="1"/>
  <c r="L68" i="1"/>
  <c r="L69" i="1"/>
  <c r="K20" i="1"/>
  <c r="I20" i="1"/>
  <c r="G20" i="1"/>
  <c r="M20" i="1"/>
  <c r="M49" i="1"/>
  <c r="I49" i="1"/>
  <c r="G49" i="1"/>
  <c r="K49" i="1"/>
  <c r="L22" i="1"/>
  <c r="K17" i="1"/>
  <c r="M17" i="1"/>
  <c r="G17" i="1"/>
  <c r="I17" i="1"/>
  <c r="G52" i="1"/>
  <c r="M52" i="1"/>
  <c r="I52" i="1"/>
  <c r="K52" i="1"/>
  <c r="H52" i="1"/>
  <c r="H64" i="1"/>
  <c r="L35" i="1"/>
  <c r="G48" i="1"/>
  <c r="I48" i="1"/>
  <c r="K48" i="1"/>
  <c r="M48" i="1"/>
  <c r="G40" i="1"/>
  <c r="I40" i="1"/>
  <c r="M40" i="1"/>
  <c r="K40" i="1"/>
  <c r="G59" i="1"/>
  <c r="M59" i="1"/>
  <c r="K59" i="1"/>
  <c r="I59" i="1"/>
  <c r="M73" i="1"/>
  <c r="K73" i="1"/>
  <c r="G73" i="1"/>
  <c r="I73" i="1"/>
  <c r="O5" i="3"/>
  <c r="J10" i="1"/>
  <c r="L12" i="1"/>
  <c r="L73" i="1"/>
  <c r="L23" i="1"/>
  <c r="L11" i="1"/>
  <c r="L24" i="1"/>
  <c r="G54" i="1"/>
  <c r="M54" i="1"/>
  <c r="I54" i="1"/>
  <c r="K54" i="1"/>
  <c r="H31" i="1"/>
  <c r="L21" i="1"/>
  <c r="H40" i="1"/>
  <c r="H71" i="1"/>
  <c r="L64" i="1"/>
  <c r="L6" i="3"/>
  <c r="K26" i="1"/>
  <c r="G26" i="1"/>
  <c r="I26" i="1"/>
  <c r="M26" i="1"/>
  <c r="M61" i="1"/>
  <c r="K61" i="1"/>
  <c r="I61" i="1"/>
  <c r="G61" i="1"/>
  <c r="I44" i="1"/>
  <c r="G44" i="1"/>
  <c r="M44" i="1"/>
  <c r="K44" i="1"/>
  <c r="K34" i="1"/>
  <c r="M34" i="1"/>
  <c r="I34" i="1"/>
  <c r="G34" i="1"/>
  <c r="M21" i="1"/>
  <c r="I21" i="1"/>
  <c r="K21" i="1"/>
  <c r="G21" i="1"/>
  <c r="G64" i="1"/>
  <c r="I64" i="1"/>
  <c r="M64" i="1"/>
  <c r="K64" i="1"/>
  <c r="L5" i="3"/>
  <c r="AB5" i="1"/>
  <c r="W65" i="1" a="1"/>
  <c r="W63" i="1" a="1"/>
  <c r="W70" i="1" a="1"/>
  <c r="W56" i="1" a="1"/>
  <c r="W45" i="1" a="1"/>
  <c r="S61" i="1" a="1"/>
  <c r="S62" i="1" a="1"/>
  <c r="S26" i="1" a="1"/>
  <c r="S53" i="1" a="1"/>
  <c r="S47" i="1" a="1"/>
  <c r="Q26" i="1" a="1"/>
  <c r="Q59" i="1" a="1"/>
  <c r="Q17" i="1" a="1"/>
  <c r="Q49" i="1" a="1"/>
  <c r="K91" i="3" a="1"/>
  <c r="K107" i="3" a="1"/>
  <c r="K74" i="3" a="1"/>
  <c r="K49" i="3" a="1"/>
  <c r="K65" i="3" a="1"/>
  <c r="K100" i="3" a="1"/>
  <c r="K15" i="3" a="1"/>
  <c r="K20" i="3" a="1"/>
  <c r="K10" i="3" a="1"/>
  <c r="Q47" i="1" a="1"/>
  <c r="N77" i="3" a="1"/>
  <c r="N66" i="3" a="1"/>
  <c r="N92" i="3" a="1"/>
  <c r="N76" i="3" a="1"/>
  <c r="N54" i="3" a="1"/>
  <c r="N47" i="3" a="1"/>
  <c r="N84" i="3" a="1"/>
  <c r="N56" i="3" a="1"/>
  <c r="N23" i="3" a="1"/>
  <c r="N88" i="3" a="1"/>
  <c r="N46" i="3" a="1"/>
  <c r="N27" i="3" a="1"/>
  <c r="N50" i="3" a="1"/>
  <c r="N78" i="3" a="1"/>
  <c r="N110" i="3" a="1"/>
  <c r="N35" i="3" a="1"/>
  <c r="N71" i="3" a="1"/>
  <c r="N105" i="3" a="1"/>
  <c r="W67" i="1" a="1"/>
  <c r="S13" i="1" a="1"/>
  <c r="S73" i="1" a="1"/>
  <c r="K94" i="3" a="1"/>
  <c r="K93" i="3" a="1"/>
  <c r="N107" i="3" a="1"/>
  <c r="W68" i="1" a="1"/>
  <c r="W60" i="1" a="1"/>
  <c r="W52" i="1" a="1"/>
  <c r="W48" i="1" a="1"/>
  <c r="W35" i="1" a="1"/>
  <c r="S11" i="1" a="1"/>
  <c r="S33" i="1" a="1"/>
  <c r="S45" i="1" a="1"/>
  <c r="S28" i="1" a="1"/>
  <c r="S18" i="1" a="1"/>
  <c r="Q70" i="1" a="1"/>
  <c r="Q69" i="1" a="1"/>
  <c r="Q33" i="1" a="1"/>
  <c r="Q21" i="1" a="1"/>
  <c r="K33" i="3" a="1"/>
  <c r="K72" i="3" a="1"/>
  <c r="K57" i="3" a="1"/>
  <c r="K41" i="3" a="1"/>
  <c r="K38" i="3" a="1"/>
  <c r="K71" i="3" a="1"/>
  <c r="K87" i="3" a="1"/>
  <c r="K89" i="3" a="1"/>
  <c r="K11" i="3" a="1"/>
  <c r="Q50" i="1" a="1"/>
  <c r="N24" i="3" a="1"/>
  <c r="N15" i="3" a="1"/>
  <c r="N69" i="3" a="1"/>
  <c r="N98" i="3" a="1"/>
  <c r="N65" i="3" a="1"/>
  <c r="N74" i="3" a="1"/>
  <c r="W46" i="1" a="1"/>
  <c r="Q36" i="1" a="1"/>
  <c r="N31" i="3" a="1"/>
  <c r="W42" i="1" a="1"/>
  <c r="W64" i="1" a="1"/>
  <c r="W40" i="1" a="1"/>
  <c r="W74" i="1" a="1"/>
  <c r="W53" i="1" a="1"/>
  <c r="S46" i="1" a="1"/>
  <c r="S66" i="1" a="1"/>
  <c r="S56" i="1" a="1"/>
  <c r="S37" i="1" a="1"/>
  <c r="S44" i="1" a="1"/>
  <c r="Q18" i="1" a="1"/>
  <c r="Q38" i="1" a="1"/>
  <c r="Q72" i="1" a="1"/>
  <c r="Q48" i="1" a="1"/>
  <c r="K105" i="3" a="1"/>
  <c r="K24" i="3" a="1"/>
  <c r="K51" i="3" a="1"/>
  <c r="K92" i="3" a="1"/>
  <c r="K50" i="3" a="1"/>
  <c r="K34" i="3" a="1"/>
  <c r="K106" i="3" a="1"/>
  <c r="K30" i="3" a="1"/>
  <c r="Q55" i="1" a="1"/>
  <c r="Q28" i="1" a="1"/>
  <c r="N108" i="3" a="1"/>
  <c r="N25" i="3" a="1"/>
  <c r="N70" i="3" a="1"/>
  <c r="N101" i="3" a="1"/>
  <c r="N93" i="3" a="1"/>
  <c r="N34" i="3" a="1"/>
  <c r="W18" i="1" a="1"/>
  <c r="W43" i="1" a="1"/>
  <c r="W39" i="1" a="1"/>
  <c r="W29" i="1" a="1"/>
  <c r="W41" i="1" a="1"/>
  <c r="S58" i="1" a="1"/>
  <c r="S51" i="1" a="1"/>
  <c r="S22" i="1" a="1"/>
  <c r="S74" i="1" a="1"/>
  <c r="S57" i="1" a="1"/>
  <c r="Q60" i="1" a="1"/>
  <c r="Q73" i="1" a="1"/>
  <c r="Q62" i="1" a="1"/>
  <c r="Q20" i="1" a="1"/>
  <c r="K70" i="3" a="1"/>
  <c r="K25" i="3" a="1"/>
  <c r="K40" i="3" a="1"/>
  <c r="K88" i="3" a="1"/>
  <c r="K85" i="3" a="1"/>
  <c r="K46" i="3" a="1"/>
  <c r="K83" i="3" a="1"/>
  <c r="K76" i="3" a="1"/>
  <c r="Q29" i="1" a="1"/>
  <c r="Q66" i="1" a="1"/>
  <c r="N103" i="3" a="1"/>
  <c r="N86" i="3" a="1"/>
  <c r="N17" i="3" a="1"/>
  <c r="N48" i="3" a="1"/>
  <c r="N21" i="3" a="1"/>
  <c r="N109" i="3" a="1"/>
  <c r="N44" i="3" a="1"/>
  <c r="N100" i="3" a="1"/>
  <c r="Q42" i="1" a="1"/>
  <c r="Q14" i="1" a="1"/>
  <c r="K48" i="3" a="1"/>
  <c r="K29" i="3" a="1"/>
  <c r="K61" i="3" a="1"/>
  <c r="K64" i="3" a="1"/>
  <c r="K32" i="3" a="1"/>
  <c r="N63" i="3" a="1"/>
  <c r="N95" i="3" a="1"/>
  <c r="N55" i="3" a="1"/>
  <c r="N41" i="3" a="1"/>
  <c r="N91" i="3" a="1"/>
  <c r="N94" i="3" a="1"/>
  <c r="N12" i="3" a="1"/>
  <c r="W54" i="1" a="1"/>
  <c r="Q61" i="1" a="1"/>
  <c r="K17" i="3" a="1"/>
  <c r="W44" i="1" a="1"/>
  <c r="W30" i="1" a="1"/>
  <c r="W21" i="1" a="1"/>
  <c r="W32" i="1" a="1"/>
  <c r="W15" i="1" a="1"/>
  <c r="S16" i="1" a="1"/>
  <c r="S48" i="1" a="1"/>
  <c r="S30" i="1" a="1"/>
  <c r="S60" i="1" a="1"/>
  <c r="S42" i="1" a="1"/>
  <c r="Q44" i="1" a="1"/>
  <c r="K101" i="3" a="1"/>
  <c r="K68" i="3" a="1"/>
  <c r="K53" i="3" a="1"/>
  <c r="K103" i="3" a="1"/>
  <c r="Q32" i="1" a="1"/>
  <c r="Q67" i="1" a="1"/>
  <c r="N19" i="3" a="1"/>
  <c r="N38" i="3" a="1"/>
  <c r="N85" i="3" a="1"/>
  <c r="W14" i="1" a="1"/>
  <c r="S49" i="1" a="1"/>
  <c r="Q15" i="1" a="1"/>
  <c r="K63" i="3" a="1"/>
  <c r="Q34" i="1" a="1"/>
  <c r="W20" i="1" a="1"/>
  <c r="W59" i="1" a="1"/>
  <c r="W26" i="1" a="1"/>
  <c r="W34" i="1" a="1"/>
  <c r="W23" i="1" a="1"/>
  <c r="W37" i="1" a="1"/>
  <c r="S14" i="1" a="1"/>
  <c r="S64" i="1" a="1"/>
  <c r="S24" i="1" a="1"/>
  <c r="S69" i="1" a="1"/>
  <c r="S39" i="1" a="1"/>
  <c r="Q54" i="1" a="1"/>
  <c r="Q68" i="1" a="1"/>
  <c r="Q57" i="1" a="1"/>
  <c r="K27" i="3" a="1"/>
  <c r="K60" i="3" a="1"/>
  <c r="K45" i="3" a="1"/>
  <c r="K16" i="3" a="1"/>
  <c r="K77" i="3" a="1"/>
  <c r="K110" i="3" a="1"/>
  <c r="K67" i="3" a="1"/>
  <c r="K52" i="3" a="1"/>
  <c r="K79" i="3" a="1"/>
  <c r="Q41" i="1" a="1"/>
  <c r="Q31" i="1" a="1"/>
  <c r="N80" i="3" a="1"/>
  <c r="N64" i="3" a="1"/>
  <c r="N42" i="3" a="1"/>
  <c r="N32" i="3" a="1"/>
  <c r="W17" i="1" a="1"/>
  <c r="W28" i="1" a="1"/>
  <c r="W73" i="1" a="1"/>
  <c r="W51" i="1" a="1"/>
  <c r="W49" i="1" a="1"/>
  <c r="W16" i="1" a="1"/>
  <c r="S59" i="1" a="1"/>
  <c r="S15" i="1" a="1"/>
  <c r="S29" i="1" a="1"/>
  <c r="S68" i="1" a="1"/>
  <c r="S72" i="1" a="1"/>
  <c r="Q64" i="1" a="1"/>
  <c r="Q22" i="1" a="1"/>
  <c r="Q56" i="1" a="1"/>
  <c r="K99" i="3" a="1"/>
  <c r="K18" i="3" a="1"/>
  <c r="K28" i="3" a="1"/>
  <c r="K84" i="3" a="1"/>
  <c r="K108" i="3" a="1"/>
  <c r="K58" i="3" a="1"/>
  <c r="K14" i="3" a="1"/>
  <c r="K109" i="3" a="1"/>
  <c r="K80" i="3" a="1"/>
  <c r="Q13" i="1" a="1"/>
  <c r="Q65" i="1" a="1"/>
  <c r="N61" i="3" a="1"/>
  <c r="N52" i="3" a="1"/>
  <c r="N37" i="3" a="1"/>
  <c r="N49" i="3" a="1"/>
  <c r="N72" i="3" a="1"/>
  <c r="N82" i="3" a="1"/>
  <c r="N28" i="3" a="1"/>
  <c r="N18" i="3" a="1"/>
  <c r="N58" i="3" a="1"/>
  <c r="N36" i="3" a="1"/>
  <c r="N43" i="3" a="1"/>
  <c r="N87" i="3" a="1"/>
  <c r="S65" i="1" a="1"/>
  <c r="K31" i="3" a="1"/>
  <c r="N73" i="3" a="1"/>
  <c r="W66" i="1" a="1"/>
  <c r="W61" i="1" a="1"/>
  <c r="W71" i="1" a="1"/>
  <c r="W33" i="1" a="1"/>
  <c r="W31" i="1" a="1"/>
  <c r="W22" i="1" a="1"/>
  <c r="S41" i="1" a="1"/>
  <c r="S40" i="1" a="1"/>
  <c r="S38" i="1" a="1"/>
  <c r="S23" i="1" a="1"/>
  <c r="S43" i="1" a="1"/>
  <c r="Q45" i="1" a="1"/>
  <c r="Q25" i="1" a="1"/>
  <c r="Q35" i="1" a="1"/>
  <c r="K22" i="3" a="1"/>
  <c r="K19" i="3" a="1"/>
  <c r="K23" i="3" a="1"/>
  <c r="K42" i="3" a="1"/>
  <c r="K90" i="3" a="1"/>
  <c r="K82" i="3" a="1"/>
  <c r="K43" i="3" a="1"/>
  <c r="K73" i="3" a="1"/>
  <c r="Q52" i="1" a="1"/>
  <c r="Q40" i="1" a="1"/>
  <c r="N81" i="3" a="1"/>
  <c r="N57" i="3" a="1"/>
  <c r="N89" i="3" a="1"/>
  <c r="N20" i="3" a="1"/>
  <c r="N45" i="3" a="1"/>
  <c r="N97" i="3" a="1"/>
  <c r="N16" i="3" a="1"/>
  <c r="N59" i="3" a="1"/>
  <c r="N102" i="3" a="1"/>
  <c r="K55" i="3" a="1"/>
  <c r="K59" i="3" a="1"/>
  <c r="K47" i="3" a="1"/>
  <c r="K62" i="3" a="1"/>
  <c r="Q39" i="1" a="1"/>
  <c r="Q63" i="1" a="1"/>
  <c r="N67" i="3" a="1"/>
  <c r="W57" i="1" a="1"/>
  <c r="W72" i="1" a="1"/>
  <c r="W62" i="1" a="1"/>
  <c r="W27" i="1" a="1"/>
  <c r="W24" i="1" a="1"/>
  <c r="S25" i="1" a="1"/>
  <c r="S32" i="1" a="1"/>
  <c r="S21" i="1" a="1"/>
  <c r="S70" i="1" a="1"/>
  <c r="S67" i="1" a="1"/>
  <c r="S36" i="1" a="1"/>
  <c r="Q51" i="1" a="1"/>
  <c r="Q53" i="1" a="1"/>
  <c r="Q16" i="1" a="1"/>
  <c r="K95" i="3" a="1"/>
  <c r="K97" i="3" a="1"/>
  <c r="K26" i="3" a="1"/>
  <c r="K37" i="3" a="1"/>
  <c r="K69" i="3" a="1"/>
  <c r="N51" i="3" a="1"/>
  <c r="W50" i="1" a="1"/>
  <c r="W11" i="1" a="1"/>
  <c r="W47" i="1" a="1"/>
  <c r="W38" i="1" a="1"/>
  <c r="W13" i="1" a="1"/>
  <c r="S35" i="1" a="1"/>
  <c r="S31" i="1" a="1"/>
  <c r="S20" i="1" a="1"/>
  <c r="S55" i="1" a="1"/>
  <c r="S52" i="1" a="1"/>
  <c r="S12" i="1" a="1"/>
  <c r="Q46" i="1" a="1"/>
  <c r="Q43" i="1" a="1"/>
  <c r="N10" i="3" a="1"/>
  <c r="K54" i="3" a="1"/>
  <c r="K39" i="3" a="1"/>
  <c r="K78" i="3" a="1"/>
  <c r="K86" i="3" a="1"/>
  <c r="K104" i="3" a="1"/>
  <c r="K66" i="3" a="1"/>
  <c r="K102" i="3" a="1"/>
  <c r="K96" i="3" a="1"/>
  <c r="Q24" i="1" a="1"/>
  <c r="Q12" i="1" a="1"/>
  <c r="N33" i="3" a="1"/>
  <c r="N40" i="3" a="1"/>
  <c r="N90" i="3" a="1"/>
  <c r="N104" i="3" a="1"/>
  <c r="N60" i="3" a="1"/>
  <c r="N26" i="3" a="1"/>
  <c r="N22" i="3" a="1"/>
  <c r="N96" i="3" a="1"/>
  <c r="N13" i="3" a="1"/>
  <c r="S50" i="1" a="1"/>
  <c r="Q71" i="1" a="1"/>
  <c r="K81" i="3" a="1"/>
  <c r="Q58" i="1" a="1"/>
  <c r="N75" i="3" a="1"/>
  <c r="N11" i="3" a="1"/>
  <c r="Q11" i="1" a="1"/>
  <c r="W55" i="1" a="1"/>
  <c r="W25" i="1" a="1"/>
  <c r="W58" i="1" a="1"/>
  <c r="W69" i="1" a="1"/>
  <c r="W36" i="1" a="1"/>
  <c r="S17" i="1" a="1"/>
  <c r="S27" i="1" a="1"/>
  <c r="S71" i="1" a="1"/>
  <c r="S54" i="1" a="1"/>
  <c r="S63" i="1" a="1"/>
  <c r="S34" i="1" a="1"/>
  <c r="Q23" i="1" a="1"/>
  <c r="Q30" i="1" a="1"/>
  <c r="Q37" i="1" a="1"/>
  <c r="K12" i="3" a="1"/>
  <c r="K44" i="3" a="1"/>
  <c r="K36" i="3" a="1"/>
  <c r="K35" i="3" a="1"/>
  <c r="K75" i="3" a="1"/>
  <c r="K56" i="3" a="1"/>
  <c r="K98" i="3" a="1"/>
  <c r="K21" i="3" a="1"/>
  <c r="Q74" i="1" a="1"/>
  <c r="Q27" i="1" a="1"/>
  <c r="N106" i="3" a="1"/>
  <c r="N83" i="3" a="1"/>
  <c r="N14" i="3" a="1"/>
  <c r="N29" i="3" a="1"/>
  <c r="N62" i="3" a="1"/>
  <c r="N99" i="3" a="1"/>
  <c r="N53" i="3" a="1"/>
  <c r="N79" i="3" a="1"/>
  <c r="N68" i="3" a="1"/>
  <c r="W12" i="1" a="1"/>
  <c r="K13" i="3" a="1"/>
  <c r="N30" i="3" a="1"/>
  <c r="N39" i="3" a="1"/>
  <c r="W22" i="1" l="1"/>
  <c r="W16" i="1"/>
  <c r="W37" i="1"/>
  <c r="W15" i="1"/>
  <c r="W41" i="1"/>
  <c r="W53" i="1"/>
  <c r="W35" i="1"/>
  <c r="W45" i="1"/>
  <c r="W46" i="1"/>
  <c r="W36" i="1"/>
  <c r="W13" i="1"/>
  <c r="W24" i="1"/>
  <c r="W31" i="1"/>
  <c r="W49" i="1"/>
  <c r="W23" i="1"/>
  <c r="W32" i="1"/>
  <c r="W29" i="1"/>
  <c r="W74" i="1"/>
  <c r="W48" i="1"/>
  <c r="W56" i="1"/>
  <c r="W54" i="1"/>
  <c r="W69" i="1"/>
  <c r="W38" i="1"/>
  <c r="W27" i="1"/>
  <c r="W33" i="1"/>
  <c r="W51" i="1"/>
  <c r="W34" i="1"/>
  <c r="W21" i="1"/>
  <c r="W39" i="1"/>
  <c r="W40" i="1"/>
  <c r="W52" i="1"/>
  <c r="W70" i="1"/>
  <c r="W12" i="1"/>
  <c r="W58" i="1"/>
  <c r="W47" i="1"/>
  <c r="W62" i="1"/>
  <c r="W71" i="1"/>
  <c r="W73" i="1"/>
  <c r="W26" i="1"/>
  <c r="W30" i="1"/>
  <c r="W43" i="1"/>
  <c r="W64" i="1"/>
  <c r="W60" i="1"/>
  <c r="W63" i="1"/>
  <c r="W14" i="1"/>
  <c r="W25" i="1"/>
  <c r="W72" i="1"/>
  <c r="W61" i="1"/>
  <c r="W28" i="1"/>
  <c r="W59" i="1"/>
  <c r="W44" i="1"/>
  <c r="W18" i="1"/>
  <c r="W42" i="1"/>
  <c r="W68" i="1"/>
  <c r="W65" i="1"/>
  <c r="W67" i="1"/>
  <c r="W55" i="1"/>
  <c r="W50" i="1"/>
  <c r="W57" i="1"/>
  <c r="W66" i="1"/>
  <c r="W17" i="1"/>
  <c r="W20" i="1"/>
  <c r="S34" i="1"/>
  <c r="S12" i="1"/>
  <c r="S36" i="1"/>
  <c r="S43" i="1"/>
  <c r="S72" i="1"/>
  <c r="S39" i="1"/>
  <c r="S42" i="1"/>
  <c r="S57" i="1"/>
  <c r="S44" i="1"/>
  <c r="S18" i="1"/>
  <c r="S47" i="1"/>
  <c r="S73" i="1"/>
  <c r="S63" i="1"/>
  <c r="S52" i="1"/>
  <c r="S67" i="1"/>
  <c r="S23" i="1"/>
  <c r="S68" i="1"/>
  <c r="S69" i="1"/>
  <c r="S60" i="1"/>
  <c r="S74" i="1"/>
  <c r="S37" i="1"/>
  <c r="S28" i="1"/>
  <c r="S53" i="1"/>
  <c r="S65" i="1"/>
  <c r="S54" i="1"/>
  <c r="S55" i="1"/>
  <c r="S70" i="1"/>
  <c r="S38" i="1"/>
  <c r="S29" i="1"/>
  <c r="S24" i="1"/>
  <c r="S30" i="1"/>
  <c r="S22" i="1"/>
  <c r="S56" i="1"/>
  <c r="S45" i="1"/>
  <c r="S26" i="1"/>
  <c r="S49" i="1"/>
  <c r="S71" i="1"/>
  <c r="S20" i="1"/>
  <c r="S21" i="1"/>
  <c r="S40" i="1"/>
  <c r="S15" i="1"/>
  <c r="S64" i="1"/>
  <c r="S48" i="1"/>
  <c r="S51" i="1"/>
  <c r="S66" i="1"/>
  <c r="S33" i="1"/>
  <c r="S62" i="1"/>
  <c r="S50" i="1"/>
  <c r="S27" i="1"/>
  <c r="S31" i="1"/>
  <c r="S32" i="1"/>
  <c r="S41" i="1"/>
  <c r="S59" i="1"/>
  <c r="S14" i="1"/>
  <c r="S16" i="1"/>
  <c r="S58" i="1"/>
  <c r="S46" i="1"/>
  <c r="S61" i="1"/>
  <c r="S13" i="1"/>
  <c r="S17" i="1"/>
  <c r="S35" i="1"/>
  <c r="S25" i="1"/>
  <c r="N75" i="1"/>
  <c r="O75" i="1" s="1"/>
  <c r="G75" i="1"/>
  <c r="M75" i="1"/>
  <c r="K75" i="1"/>
  <c r="I75" i="1"/>
  <c r="N68" i="3"/>
  <c r="N13" i="3"/>
  <c r="N85" i="3"/>
  <c r="N102" i="3"/>
  <c r="N18" i="3"/>
  <c r="N65" i="3"/>
  <c r="N71" i="3"/>
  <c r="N100" i="3"/>
  <c r="N35" i="3"/>
  <c r="N50" i="3"/>
  <c r="N56" i="3"/>
  <c r="N39" i="3"/>
  <c r="N79" i="3"/>
  <c r="N96" i="3"/>
  <c r="N12" i="3"/>
  <c r="N59" i="3"/>
  <c r="N28" i="3"/>
  <c r="N94" i="3"/>
  <c r="N91" i="3"/>
  <c r="N44" i="3"/>
  <c r="N110" i="3"/>
  <c r="N27" i="3"/>
  <c r="N84" i="3"/>
  <c r="N11" i="3"/>
  <c r="N53" i="3"/>
  <c r="N22" i="3"/>
  <c r="N105" i="3"/>
  <c r="N16" i="3"/>
  <c r="N82" i="3"/>
  <c r="N38" i="3"/>
  <c r="N98" i="3"/>
  <c r="N109" i="3"/>
  <c r="N78" i="3"/>
  <c r="N46" i="3"/>
  <c r="N47" i="3"/>
  <c r="N51" i="3"/>
  <c r="N99" i="3"/>
  <c r="N26" i="3"/>
  <c r="N74" i="3"/>
  <c r="N97" i="3"/>
  <c r="N72" i="3"/>
  <c r="N34" i="3"/>
  <c r="N41" i="3"/>
  <c r="N21" i="3"/>
  <c r="N93" i="3"/>
  <c r="N88" i="3"/>
  <c r="N54" i="3"/>
  <c r="N73" i="3"/>
  <c r="N62" i="3"/>
  <c r="N60" i="3"/>
  <c r="N87" i="3"/>
  <c r="N45" i="3"/>
  <c r="N49" i="3"/>
  <c r="N32" i="3"/>
  <c r="N55" i="3"/>
  <c r="N48" i="3"/>
  <c r="N101" i="3"/>
  <c r="N23" i="3"/>
  <c r="N76" i="3"/>
  <c r="N75" i="3"/>
  <c r="N29" i="3"/>
  <c r="N104" i="3"/>
  <c r="N43" i="3"/>
  <c r="N20" i="3"/>
  <c r="N37" i="3"/>
  <c r="N42" i="3"/>
  <c r="N95" i="3"/>
  <c r="N17" i="3"/>
  <c r="N70" i="3"/>
  <c r="N69" i="3"/>
  <c r="N92" i="3"/>
  <c r="N31" i="3"/>
  <c r="N14" i="3"/>
  <c r="N90" i="3"/>
  <c r="N36" i="3"/>
  <c r="N89" i="3"/>
  <c r="N52" i="3"/>
  <c r="N64" i="3"/>
  <c r="N63" i="3"/>
  <c r="N86" i="3"/>
  <c r="N25" i="3"/>
  <c r="N15" i="3"/>
  <c r="N66" i="3"/>
  <c r="N30" i="3"/>
  <c r="N83" i="3"/>
  <c r="N40" i="3"/>
  <c r="N58" i="3"/>
  <c r="N57" i="3"/>
  <c r="N61" i="3"/>
  <c r="N80" i="3"/>
  <c r="N19" i="3"/>
  <c r="N103" i="3"/>
  <c r="N108" i="3"/>
  <c r="N24" i="3"/>
  <c r="N77" i="3"/>
  <c r="N107" i="3"/>
  <c r="N106" i="3"/>
  <c r="N33" i="3"/>
  <c r="N67" i="3"/>
  <c r="N81" i="3"/>
  <c r="Q65" i="1"/>
  <c r="Q31" i="1"/>
  <c r="Q67" i="1"/>
  <c r="Q66" i="1"/>
  <c r="Q28" i="1"/>
  <c r="Q50" i="1"/>
  <c r="Q47" i="1"/>
  <c r="Q34" i="1"/>
  <c r="Q27" i="1"/>
  <c r="Q12" i="1"/>
  <c r="Q63" i="1"/>
  <c r="Q40" i="1"/>
  <c r="Q13" i="1"/>
  <c r="Q41" i="1"/>
  <c r="Q32" i="1"/>
  <c r="Q29" i="1"/>
  <c r="Q55" i="1"/>
  <c r="Q58" i="1"/>
  <c r="Q74" i="1"/>
  <c r="Q24" i="1"/>
  <c r="Q39" i="1"/>
  <c r="Q52" i="1"/>
  <c r="K80" i="3"/>
  <c r="L80" i="3" s="1"/>
  <c r="K79" i="3"/>
  <c r="L79" i="3" s="1"/>
  <c r="K32" i="3"/>
  <c r="L32" i="3" s="1"/>
  <c r="K76" i="3"/>
  <c r="L76" i="3" s="1"/>
  <c r="K30" i="3"/>
  <c r="L30" i="3" s="1"/>
  <c r="K89" i="3"/>
  <c r="L89" i="3" s="1"/>
  <c r="K20" i="3"/>
  <c r="L20" i="3" s="1"/>
  <c r="K93" i="3"/>
  <c r="L93" i="3" s="1"/>
  <c r="K21" i="3"/>
  <c r="L21" i="3" s="1"/>
  <c r="K96" i="3"/>
  <c r="L96" i="3" s="1"/>
  <c r="K62" i="3"/>
  <c r="L62" i="3" s="1"/>
  <c r="K73" i="3"/>
  <c r="L73" i="3" s="1"/>
  <c r="K109" i="3"/>
  <c r="L109" i="3" s="1"/>
  <c r="K52" i="3"/>
  <c r="L52" i="3" s="1"/>
  <c r="K64" i="3"/>
  <c r="L64" i="3" s="1"/>
  <c r="K83" i="3"/>
  <c r="L83" i="3" s="1"/>
  <c r="K106" i="3"/>
  <c r="L106" i="3" s="1"/>
  <c r="K87" i="3"/>
  <c r="L87" i="3" s="1"/>
  <c r="K15" i="3"/>
  <c r="L15" i="3" s="1"/>
  <c r="K69" i="3"/>
  <c r="K98" i="3"/>
  <c r="L98" i="3" s="1"/>
  <c r="K102" i="3"/>
  <c r="L102" i="3" s="1"/>
  <c r="K47" i="3"/>
  <c r="L47" i="3" s="1"/>
  <c r="K43" i="3"/>
  <c r="L43" i="3" s="1"/>
  <c r="K14" i="3"/>
  <c r="L14" i="3" s="1"/>
  <c r="K67" i="3"/>
  <c r="L67" i="3" s="1"/>
  <c r="K103" i="3"/>
  <c r="L103" i="3" s="1"/>
  <c r="K46" i="3"/>
  <c r="L46" i="3" s="1"/>
  <c r="K34" i="3"/>
  <c r="L34" i="3" s="1"/>
  <c r="K71" i="3"/>
  <c r="L71" i="3" s="1"/>
  <c r="K100" i="3"/>
  <c r="L100" i="3" s="1"/>
  <c r="K81" i="3"/>
  <c r="L81" i="3" s="1"/>
  <c r="K56" i="3"/>
  <c r="L56" i="3" s="1"/>
  <c r="K66" i="3"/>
  <c r="L66" i="3" s="1"/>
  <c r="K59" i="3"/>
  <c r="L59" i="3" s="1"/>
  <c r="K82" i="3"/>
  <c r="L82" i="3" s="1"/>
  <c r="K58" i="3"/>
  <c r="L58" i="3" s="1"/>
  <c r="K110" i="3"/>
  <c r="L110" i="3" s="1"/>
  <c r="K61" i="3"/>
  <c r="L61" i="3" s="1"/>
  <c r="K85" i="3"/>
  <c r="L85" i="3" s="1"/>
  <c r="K50" i="3"/>
  <c r="L50" i="3" s="1"/>
  <c r="K38" i="3"/>
  <c r="L38" i="3" s="1"/>
  <c r="K65" i="3"/>
  <c r="L65" i="3" s="1"/>
  <c r="K94" i="3"/>
  <c r="L94" i="3" s="1"/>
  <c r="K75" i="3"/>
  <c r="L75" i="3" s="1"/>
  <c r="K104" i="3"/>
  <c r="L104" i="3" s="1"/>
  <c r="K55" i="3"/>
  <c r="L55" i="3" s="1"/>
  <c r="K90" i="3"/>
  <c r="L90" i="3" s="1"/>
  <c r="K108" i="3"/>
  <c r="L108" i="3" s="1"/>
  <c r="K77" i="3"/>
  <c r="L77" i="3" s="1"/>
  <c r="K53" i="3"/>
  <c r="L53" i="3" s="1"/>
  <c r="K88" i="3"/>
  <c r="L88" i="3" s="1"/>
  <c r="K92" i="3"/>
  <c r="L92" i="3" s="1"/>
  <c r="K41" i="3"/>
  <c r="L41" i="3" s="1"/>
  <c r="K49" i="3"/>
  <c r="L49" i="3" s="1"/>
  <c r="K63" i="3"/>
  <c r="L63" i="3" s="1"/>
  <c r="K35" i="3"/>
  <c r="L35" i="3" s="1"/>
  <c r="K86" i="3"/>
  <c r="L86" i="3" s="1"/>
  <c r="K37" i="3"/>
  <c r="L37" i="3" s="1"/>
  <c r="K42" i="3"/>
  <c r="L42" i="3" s="1"/>
  <c r="K84" i="3"/>
  <c r="L84" i="3" s="1"/>
  <c r="K16" i="3"/>
  <c r="L16" i="3" s="1"/>
  <c r="K29" i="3"/>
  <c r="L29" i="3" s="1"/>
  <c r="K40" i="3"/>
  <c r="L40" i="3" s="1"/>
  <c r="K51" i="3"/>
  <c r="L51" i="3" s="1"/>
  <c r="K57" i="3"/>
  <c r="L57" i="3" s="1"/>
  <c r="K74" i="3"/>
  <c r="L74" i="3" s="1"/>
  <c r="K31" i="3"/>
  <c r="L31" i="3" s="1"/>
  <c r="K36" i="3"/>
  <c r="L36" i="3" s="1"/>
  <c r="K78" i="3"/>
  <c r="L78" i="3" s="1"/>
  <c r="K26" i="3"/>
  <c r="L26" i="3" s="1"/>
  <c r="K23" i="3"/>
  <c r="L23" i="3" s="1"/>
  <c r="K28" i="3"/>
  <c r="L28" i="3" s="1"/>
  <c r="K45" i="3"/>
  <c r="L45" i="3" s="1"/>
  <c r="K68" i="3"/>
  <c r="L68" i="3" s="1"/>
  <c r="K25" i="3"/>
  <c r="L25" i="3" s="1"/>
  <c r="K24" i="3"/>
  <c r="L24" i="3" s="1"/>
  <c r="K72" i="3"/>
  <c r="L72" i="3" s="1"/>
  <c r="K107" i="3"/>
  <c r="L107" i="3" s="1"/>
  <c r="K17" i="3"/>
  <c r="L17" i="3" s="1"/>
  <c r="K44" i="3"/>
  <c r="L44" i="3" s="1"/>
  <c r="K39" i="3"/>
  <c r="L39" i="3" s="1"/>
  <c r="K97" i="3"/>
  <c r="L97" i="3" s="1"/>
  <c r="K19" i="3"/>
  <c r="L19" i="3" s="1"/>
  <c r="K18" i="3"/>
  <c r="L18" i="3" s="1"/>
  <c r="K60" i="3"/>
  <c r="L60" i="3" s="1"/>
  <c r="K101" i="3"/>
  <c r="L101" i="3" s="1"/>
  <c r="K70" i="3"/>
  <c r="L70" i="3" s="1"/>
  <c r="K105" i="3"/>
  <c r="L105" i="3" s="1"/>
  <c r="K33" i="3"/>
  <c r="L33" i="3" s="1"/>
  <c r="K91" i="3"/>
  <c r="L91" i="3" s="1"/>
  <c r="K13" i="3"/>
  <c r="L13" i="3" s="1"/>
  <c r="K12" i="3"/>
  <c r="L12" i="3" s="1"/>
  <c r="K54" i="3"/>
  <c r="L54" i="3" s="1"/>
  <c r="K95" i="3"/>
  <c r="L95" i="3" s="1"/>
  <c r="K22" i="3"/>
  <c r="L22" i="3" s="1"/>
  <c r="K99" i="3"/>
  <c r="L99" i="3" s="1"/>
  <c r="K27" i="3"/>
  <c r="L27" i="3" s="1"/>
  <c r="K48" i="3"/>
  <c r="L48" i="3" s="1"/>
  <c r="Q20" i="1"/>
  <c r="Q48" i="1"/>
  <c r="Q21" i="1"/>
  <c r="Q49" i="1"/>
  <c r="Q71" i="1"/>
  <c r="Q37" i="1"/>
  <c r="Q16" i="1"/>
  <c r="Q35" i="1"/>
  <c r="Q56" i="1"/>
  <c r="Q57" i="1"/>
  <c r="Q44" i="1"/>
  <c r="Q62" i="1"/>
  <c r="Q72" i="1"/>
  <c r="Q33" i="1"/>
  <c r="Q17" i="1"/>
  <c r="Q36" i="1"/>
  <c r="Q30" i="1"/>
  <c r="Q43" i="1"/>
  <c r="Q53" i="1"/>
  <c r="Q25" i="1"/>
  <c r="Q22" i="1"/>
  <c r="Q68" i="1"/>
  <c r="Q14" i="1"/>
  <c r="Q73" i="1"/>
  <c r="Q38" i="1"/>
  <c r="Q69" i="1"/>
  <c r="Q59" i="1"/>
  <c r="Q15" i="1"/>
  <c r="Q23" i="1"/>
  <c r="Q46" i="1"/>
  <c r="Q51" i="1"/>
  <c r="Q45" i="1"/>
  <c r="Q64" i="1"/>
  <c r="Q54" i="1"/>
  <c r="Q42" i="1"/>
  <c r="Q60" i="1"/>
  <c r="Q18" i="1"/>
  <c r="Q70" i="1"/>
  <c r="Q26" i="1"/>
  <c r="Q61" i="1"/>
  <c r="J102" i="3"/>
  <c r="I102" i="3"/>
  <c r="G102" i="3"/>
  <c r="F102" i="3"/>
  <c r="J105" i="3"/>
  <c r="I105" i="3"/>
  <c r="G105" i="3"/>
  <c r="F105" i="3"/>
  <c r="J100" i="3"/>
  <c r="I100" i="3"/>
  <c r="G100" i="3"/>
  <c r="F100" i="3"/>
  <c r="J99" i="3"/>
  <c r="I99" i="3"/>
  <c r="G99" i="3"/>
  <c r="F99" i="3"/>
  <c r="J106" i="3"/>
  <c r="I106" i="3"/>
  <c r="G106" i="3"/>
  <c r="F106" i="3"/>
  <c r="J109" i="3"/>
  <c r="I109" i="3"/>
  <c r="G109" i="3"/>
  <c r="F109" i="3"/>
  <c r="J103" i="3"/>
  <c r="I103" i="3"/>
  <c r="G103" i="3"/>
  <c r="F103" i="3"/>
  <c r="J101" i="3"/>
  <c r="I101" i="3"/>
  <c r="G101" i="3"/>
  <c r="F101" i="3"/>
  <c r="I107" i="3"/>
  <c r="F107" i="3"/>
  <c r="G107" i="3"/>
  <c r="J107" i="3"/>
  <c r="J108" i="3"/>
  <c r="I108" i="3"/>
  <c r="G108" i="3"/>
  <c r="F108" i="3"/>
  <c r="J104" i="3"/>
  <c r="I104" i="3"/>
  <c r="G104" i="3"/>
  <c r="F104" i="3"/>
  <c r="J110" i="3"/>
  <c r="I110" i="3"/>
  <c r="G110" i="3"/>
  <c r="F110" i="3"/>
  <c r="O60" i="1"/>
  <c r="O37" i="1"/>
  <c r="O29" i="1"/>
  <c r="O47" i="1"/>
  <c r="O67" i="1"/>
  <c r="O46" i="1"/>
  <c r="O69" i="1"/>
  <c r="O33" i="1"/>
  <c r="O17" i="1"/>
  <c r="O41" i="1"/>
  <c r="O53" i="1"/>
  <c r="O22" i="1"/>
  <c r="O36" i="1"/>
  <c r="O54" i="1"/>
  <c r="O49" i="1"/>
  <c r="O26" i="1"/>
  <c r="O50" i="1"/>
  <c r="O62" i="1"/>
  <c r="O39" i="1"/>
  <c r="O51" i="1"/>
  <c r="O63" i="1"/>
  <c r="O64" i="1"/>
  <c r="O71" i="1"/>
  <c r="O21" i="1"/>
  <c r="O70" i="1"/>
  <c r="O35" i="1"/>
  <c r="O20" i="1"/>
  <c r="O42" i="1"/>
  <c r="O31" i="1"/>
  <c r="O43" i="1"/>
  <c r="O38" i="1"/>
  <c r="O11" i="1"/>
  <c r="O61" i="1"/>
  <c r="O15" i="1"/>
  <c r="O56" i="1"/>
  <c r="O45" i="1"/>
  <c r="O57" i="1"/>
  <c r="O14" i="1"/>
  <c r="O32" i="1"/>
  <c r="O34" i="1"/>
  <c r="O58" i="1"/>
  <c r="O28" i="1"/>
  <c r="O72" i="1"/>
  <c r="O68" i="1"/>
  <c r="O24" i="1"/>
  <c r="O55" i="1"/>
  <c r="O16" i="1"/>
  <c r="O27" i="1"/>
  <c r="O52" i="1"/>
  <c r="O40" i="1"/>
  <c r="O18" i="1"/>
  <c r="O48" i="1"/>
  <c r="O25" i="1"/>
  <c r="O23" i="1"/>
  <c r="Q11" i="1"/>
  <c r="S11" i="1"/>
  <c r="K11" i="3"/>
  <c r="L11" i="3" s="1"/>
  <c r="K10" i="3"/>
  <c r="L10" i="3" s="1"/>
  <c r="L69" i="3"/>
  <c r="W11" i="1"/>
  <c r="N10" i="3"/>
  <c r="W5" i="3"/>
  <c r="O59" i="1"/>
  <c r="O44" i="1"/>
  <c r="O66" i="1"/>
  <c r="G87" i="3"/>
  <c r="J87" i="3"/>
  <c r="F87" i="3"/>
  <c r="I87" i="3"/>
  <c r="G30" i="3"/>
  <c r="J30" i="3"/>
  <c r="F30" i="3"/>
  <c r="I30" i="3"/>
  <c r="F34" i="3"/>
  <c r="I34" i="3"/>
  <c r="G34" i="3"/>
  <c r="J34" i="3"/>
  <c r="F46" i="3"/>
  <c r="I46" i="3"/>
  <c r="G46" i="3"/>
  <c r="J46" i="3"/>
  <c r="F71" i="3"/>
  <c r="I71" i="3"/>
  <c r="G71" i="3"/>
  <c r="J71" i="3"/>
  <c r="J32" i="3"/>
  <c r="F32" i="3"/>
  <c r="I32" i="3"/>
  <c r="G32" i="3"/>
  <c r="G77" i="3"/>
  <c r="J77" i="3"/>
  <c r="F77" i="3"/>
  <c r="I77" i="3"/>
  <c r="F83" i="3"/>
  <c r="I83" i="3"/>
  <c r="G83" i="3"/>
  <c r="J83" i="3"/>
  <c r="I85" i="3"/>
  <c r="G85" i="3"/>
  <c r="J85" i="3"/>
  <c r="F85" i="3"/>
  <c r="G98" i="3"/>
  <c r="J98" i="3"/>
  <c r="F98" i="3"/>
  <c r="I98" i="3"/>
  <c r="K10" i="1"/>
  <c r="G10" i="1"/>
  <c r="M10" i="1"/>
  <c r="I10" i="1"/>
  <c r="F22" i="3"/>
  <c r="I22" i="3"/>
  <c r="G22" i="3"/>
  <c r="J22" i="3"/>
  <c r="J26" i="3"/>
  <c r="F26" i="3"/>
  <c r="G26" i="3"/>
  <c r="I26" i="3"/>
  <c r="G54" i="3"/>
  <c r="J54" i="3"/>
  <c r="F54" i="3"/>
  <c r="I54" i="3"/>
  <c r="F70" i="3"/>
  <c r="I70" i="3"/>
  <c r="G70" i="3"/>
  <c r="J70" i="3"/>
  <c r="J14" i="3"/>
  <c r="F14" i="3"/>
  <c r="G14" i="3"/>
  <c r="I14" i="3"/>
  <c r="G17" i="3"/>
  <c r="J17" i="3"/>
  <c r="F17" i="3"/>
  <c r="I17" i="3"/>
  <c r="I12" i="3"/>
  <c r="G12" i="3"/>
  <c r="J12" i="3"/>
  <c r="F12" i="3"/>
  <c r="F21" i="3"/>
  <c r="I21" i="3"/>
  <c r="G21" i="3"/>
  <c r="J21" i="3"/>
  <c r="J50" i="3"/>
  <c r="F50" i="3"/>
  <c r="I50" i="3"/>
  <c r="G50" i="3"/>
  <c r="F47" i="3"/>
  <c r="I47" i="3"/>
  <c r="G47" i="3"/>
  <c r="J47" i="3"/>
  <c r="G78" i="3"/>
  <c r="J78" i="3"/>
  <c r="F78" i="3"/>
  <c r="I78" i="3"/>
  <c r="I84" i="3"/>
  <c r="G84" i="3"/>
  <c r="J84" i="3"/>
  <c r="F84" i="3"/>
  <c r="G90" i="3"/>
  <c r="J90" i="3"/>
  <c r="F90" i="3"/>
  <c r="I90" i="3"/>
  <c r="F23" i="3"/>
  <c r="I23" i="3"/>
  <c r="G23" i="3"/>
  <c r="J23" i="3"/>
  <c r="F35" i="3"/>
  <c r="I35" i="3"/>
  <c r="G35" i="3"/>
  <c r="J35" i="3"/>
  <c r="I60" i="3"/>
  <c r="G60" i="3"/>
  <c r="J60" i="3"/>
  <c r="F60" i="3"/>
  <c r="J91" i="3"/>
  <c r="I91" i="3"/>
  <c r="F91" i="3"/>
  <c r="G91" i="3"/>
  <c r="I97" i="3"/>
  <c r="G97" i="3"/>
  <c r="J97" i="3"/>
  <c r="F97" i="3"/>
  <c r="I25" i="3"/>
  <c r="G25" i="3"/>
  <c r="J25" i="3"/>
  <c r="F25" i="3"/>
  <c r="G42" i="3"/>
  <c r="J42" i="3"/>
  <c r="F42" i="3"/>
  <c r="I42" i="3"/>
  <c r="I48" i="3"/>
  <c r="G48" i="3"/>
  <c r="J48" i="3"/>
  <c r="F48" i="3"/>
  <c r="I73" i="3"/>
  <c r="G73" i="3"/>
  <c r="J73" i="3"/>
  <c r="F73" i="3"/>
  <c r="F58" i="3"/>
  <c r="I58" i="3"/>
  <c r="G58" i="3"/>
  <c r="J58" i="3"/>
  <c r="J74" i="3"/>
  <c r="F74" i="3"/>
  <c r="G74" i="3"/>
  <c r="I74" i="3"/>
  <c r="G28" i="3"/>
  <c r="J28" i="3"/>
  <c r="F28" i="3"/>
  <c r="I28" i="3"/>
  <c r="G39" i="3"/>
  <c r="J39" i="3"/>
  <c r="F39" i="3"/>
  <c r="I39" i="3"/>
  <c r="J80" i="3"/>
  <c r="F80" i="3"/>
  <c r="I80" i="3"/>
  <c r="G80" i="3"/>
  <c r="G86" i="3"/>
  <c r="J86" i="3"/>
  <c r="F86" i="3"/>
  <c r="I86" i="3"/>
  <c r="F95" i="3"/>
  <c r="I95" i="3"/>
  <c r="G95" i="3"/>
  <c r="J95" i="3"/>
  <c r="O65" i="1"/>
  <c r="F11" i="3"/>
  <c r="I11" i="3"/>
  <c r="G11" i="3"/>
  <c r="J11" i="3"/>
  <c r="G29" i="3"/>
  <c r="J29" i="3"/>
  <c r="F29" i="3"/>
  <c r="I29" i="3"/>
  <c r="J56" i="3"/>
  <c r="F56" i="3"/>
  <c r="I56" i="3"/>
  <c r="G56" i="3"/>
  <c r="I13" i="3"/>
  <c r="G13" i="3"/>
  <c r="J13" i="3"/>
  <c r="F13" i="3"/>
  <c r="I49" i="3"/>
  <c r="G49" i="3"/>
  <c r="J49" i="3"/>
  <c r="F49" i="3"/>
  <c r="G65" i="3"/>
  <c r="J65" i="3"/>
  <c r="F65" i="3"/>
  <c r="I65" i="3"/>
  <c r="F69" i="3"/>
  <c r="I69" i="3"/>
  <c r="G69" i="3"/>
  <c r="J69" i="3"/>
  <c r="I24" i="3"/>
  <c r="G24" i="3"/>
  <c r="J24" i="3"/>
  <c r="F24" i="3"/>
  <c r="N10" i="1"/>
  <c r="O12" i="1"/>
  <c r="O74" i="1"/>
  <c r="O73" i="1"/>
  <c r="J38" i="3"/>
  <c r="F38" i="3"/>
  <c r="I38" i="3"/>
  <c r="G38" i="3"/>
  <c r="J44" i="3"/>
  <c r="F44" i="3"/>
  <c r="I44" i="3"/>
  <c r="G44" i="3"/>
  <c r="G52" i="3"/>
  <c r="J52" i="3"/>
  <c r="F52" i="3"/>
  <c r="I52" i="3"/>
  <c r="I72" i="3"/>
  <c r="G72" i="3"/>
  <c r="J72" i="3"/>
  <c r="F72" i="3"/>
  <c r="G63" i="3"/>
  <c r="J63" i="3"/>
  <c r="F63" i="3"/>
  <c r="I63" i="3"/>
  <c r="J19" i="3"/>
  <c r="I19" i="3"/>
  <c r="F19" i="3"/>
  <c r="G19" i="3"/>
  <c r="J92" i="3"/>
  <c r="F92" i="3"/>
  <c r="I92" i="3"/>
  <c r="G92" i="3"/>
  <c r="F81" i="3"/>
  <c r="I81" i="3"/>
  <c r="G81" i="3"/>
  <c r="J81" i="3"/>
  <c r="F59" i="3"/>
  <c r="I59" i="3"/>
  <c r="G59" i="3"/>
  <c r="J59" i="3"/>
  <c r="J68" i="3"/>
  <c r="F68" i="3"/>
  <c r="I68" i="3"/>
  <c r="G68" i="3"/>
  <c r="G88" i="3"/>
  <c r="J88" i="3"/>
  <c r="F88" i="3"/>
  <c r="I88" i="3"/>
  <c r="I37" i="3"/>
  <c r="G37" i="3"/>
  <c r="J37" i="3"/>
  <c r="F37" i="3"/>
  <c r="G16" i="3"/>
  <c r="J16" i="3"/>
  <c r="F16" i="3"/>
  <c r="I16" i="3"/>
  <c r="G66" i="3"/>
  <c r="J66" i="3"/>
  <c r="F66" i="3"/>
  <c r="I66" i="3"/>
  <c r="J20" i="3"/>
  <c r="F20" i="3"/>
  <c r="I20" i="3"/>
  <c r="G20" i="3"/>
  <c r="G89" i="3"/>
  <c r="J89" i="3"/>
  <c r="F89" i="3"/>
  <c r="I89" i="3"/>
  <c r="J43" i="3"/>
  <c r="I43" i="3"/>
  <c r="F43" i="3"/>
  <c r="G43" i="3"/>
  <c r="J55" i="3"/>
  <c r="I55" i="3"/>
  <c r="F55" i="3"/>
  <c r="G55" i="3"/>
  <c r="I61" i="3"/>
  <c r="G61" i="3"/>
  <c r="J61" i="3"/>
  <c r="F61" i="3"/>
  <c r="F33" i="3"/>
  <c r="I33" i="3"/>
  <c r="G33" i="3"/>
  <c r="J33" i="3"/>
  <c r="J79" i="3"/>
  <c r="I79" i="3"/>
  <c r="G79" i="3"/>
  <c r="F79" i="3"/>
  <c r="F10" i="3"/>
  <c r="I10" i="3"/>
  <c r="G10" i="3"/>
  <c r="J10" i="3"/>
  <c r="G18" i="3"/>
  <c r="J18" i="3"/>
  <c r="F18" i="3"/>
  <c r="I18" i="3"/>
  <c r="G75" i="3"/>
  <c r="J75" i="3"/>
  <c r="F75" i="3"/>
  <c r="I75" i="3"/>
  <c r="G41" i="3"/>
  <c r="J41" i="3"/>
  <c r="F41" i="3"/>
  <c r="I41" i="3"/>
  <c r="F93" i="3"/>
  <c r="I93" i="3"/>
  <c r="G93" i="3"/>
  <c r="J93" i="3"/>
  <c r="J31" i="3"/>
  <c r="I31" i="3"/>
  <c r="G31" i="3"/>
  <c r="F31" i="3"/>
  <c r="G53" i="3"/>
  <c r="J53" i="3"/>
  <c r="F53" i="3"/>
  <c r="I53" i="3"/>
  <c r="F45" i="3"/>
  <c r="I45" i="3"/>
  <c r="G45" i="3"/>
  <c r="J45" i="3"/>
  <c r="J62" i="3"/>
  <c r="F62" i="3"/>
  <c r="I62" i="3"/>
  <c r="G62" i="3"/>
  <c r="F57" i="3"/>
  <c r="I57" i="3"/>
  <c r="G57" i="3"/>
  <c r="J57" i="3"/>
  <c r="I96" i="3"/>
  <c r="G96" i="3"/>
  <c r="J96" i="3"/>
  <c r="F96" i="3"/>
  <c r="G15" i="3"/>
  <c r="J15" i="3"/>
  <c r="F15" i="3"/>
  <c r="I15" i="3"/>
  <c r="I36" i="3"/>
  <c r="G36" i="3"/>
  <c r="J36" i="3"/>
  <c r="F36" i="3"/>
  <c r="G40" i="3"/>
  <c r="J40" i="3"/>
  <c r="F40" i="3"/>
  <c r="I40" i="3"/>
  <c r="G27" i="3"/>
  <c r="J27" i="3"/>
  <c r="F27" i="3"/>
  <c r="I27" i="3"/>
  <c r="G64" i="3"/>
  <c r="J64" i="3"/>
  <c r="F64" i="3"/>
  <c r="I64" i="3"/>
  <c r="G76" i="3"/>
  <c r="J76" i="3"/>
  <c r="F76" i="3"/>
  <c r="I76" i="3"/>
  <c r="F94" i="3"/>
  <c r="I94" i="3"/>
  <c r="G94" i="3"/>
  <c r="J94" i="3"/>
  <c r="G51" i="3"/>
  <c r="J51" i="3"/>
  <c r="F51" i="3"/>
  <c r="I51" i="3"/>
  <c r="F82" i="3"/>
  <c r="I82" i="3"/>
  <c r="G82" i="3"/>
  <c r="J82" i="3"/>
  <c r="J67" i="3"/>
  <c r="I67" i="3"/>
  <c r="F67" i="3"/>
  <c r="G67" i="3"/>
  <c r="S53" i="3" a="1"/>
  <c r="S22" i="3" a="1"/>
  <c r="S106" i="3" a="1"/>
  <c r="S18" i="3" a="1"/>
  <c r="S97" i="3" a="1"/>
  <c r="S82" i="3" a="1"/>
  <c r="S19" i="3" a="1"/>
  <c r="S47" i="3" a="1"/>
  <c r="P91" i="3" a="1"/>
  <c r="P29" i="3" a="1"/>
  <c r="P103" i="3" a="1"/>
  <c r="P87" i="3" a="1"/>
  <c r="P16" i="3" a="1"/>
  <c r="P67" i="3" a="1"/>
  <c r="P86" i="3" a="1"/>
  <c r="P60" i="3" a="1"/>
  <c r="P51" i="3" a="1"/>
  <c r="AA27" i="1" a="1"/>
  <c r="AA32" i="1" a="1"/>
  <c r="AA18" i="1" a="1"/>
  <c r="V57" i="3" a="1"/>
  <c r="V89" i="3" a="1"/>
  <c r="V86" i="3" a="1"/>
  <c r="V79" i="3" a="1"/>
  <c r="V48" i="3" a="1"/>
  <c r="V42" i="3" a="1"/>
  <c r="V70" i="3" a="1"/>
  <c r="V76" i="3" a="1"/>
  <c r="V34" i="3" a="1"/>
  <c r="AA40" i="1" a="1"/>
  <c r="S54" i="3" a="1"/>
  <c r="AA51" i="1" a="1"/>
  <c r="V30" i="3" a="1"/>
  <c r="V90" i="3" a="1"/>
  <c r="P36" i="3" a="1"/>
  <c r="S102" i="3" a="1"/>
  <c r="S73" i="3" a="1"/>
  <c r="S66" i="3" a="1"/>
  <c r="S64" i="3" a="1"/>
  <c r="S91" i="3" a="1"/>
  <c r="S69" i="3" a="1"/>
  <c r="S107" i="3" a="1"/>
  <c r="AA71" i="1" a="1"/>
  <c r="V95" i="3" a="1"/>
  <c r="V56" i="3" a="1"/>
  <c r="V91" i="3" a="1"/>
  <c r="V62" i="3" a="1"/>
  <c r="AA25" i="1" a="1"/>
  <c r="P76" i="3" a="1"/>
  <c r="P17" i="3" a="1"/>
  <c r="V78" i="3" a="1"/>
  <c r="V25" i="3" a="1"/>
  <c r="V16" i="3" a="1"/>
  <c r="AA13" i="1" a="1"/>
  <c r="S58" i="3" a="1"/>
  <c r="S79" i="3" a="1"/>
  <c r="S75" i="3" a="1"/>
  <c r="S43" i="3" a="1"/>
  <c r="S99" i="3" a="1"/>
  <c r="S83" i="3" a="1"/>
  <c r="S94" i="3" a="1"/>
  <c r="S86" i="3" a="1"/>
  <c r="P32" i="3" a="1"/>
  <c r="P25" i="3" a="1"/>
  <c r="AA41" i="1" a="1"/>
  <c r="V14" i="3" a="1"/>
  <c r="V49" i="3" a="1"/>
  <c r="V109" i="3" a="1"/>
  <c r="S16" i="3" a="1"/>
  <c r="S95" i="3" a="1"/>
  <c r="S108" i="3" a="1"/>
  <c r="S68" i="3" a="1"/>
  <c r="S20" i="3" a="1"/>
  <c r="S74" i="3" a="1"/>
  <c r="S71" i="3" a="1"/>
  <c r="S96" i="3" a="1"/>
  <c r="P110" i="3" a="1"/>
  <c r="P85" i="3" a="1"/>
  <c r="P107" i="3" a="1"/>
  <c r="P102" i="3" a="1"/>
  <c r="P72" i="3" a="1"/>
  <c r="P30" i="3" a="1"/>
  <c r="P39" i="3" a="1"/>
  <c r="P106" i="3" a="1"/>
  <c r="AA45" i="1" a="1"/>
  <c r="AA29" i="1" a="1"/>
  <c r="AA67" i="1" a="1"/>
  <c r="AA23" i="1" a="1"/>
  <c r="V23" i="3" a="1"/>
  <c r="V74" i="3" a="1"/>
  <c r="V75" i="3" a="1"/>
  <c r="V18" i="3" a="1"/>
  <c r="V55" i="3" a="1"/>
  <c r="V20" i="3" a="1"/>
  <c r="V35" i="3" a="1"/>
  <c r="V22" i="3" a="1"/>
  <c r="AA46" i="1" a="1"/>
  <c r="AA43" i="1" a="1"/>
  <c r="P70" i="3" a="1"/>
  <c r="AA36" i="1" a="1"/>
  <c r="AA30" i="1" a="1"/>
  <c r="V44" i="3" a="1"/>
  <c r="S77" i="3" a="1"/>
  <c r="S49" i="3" a="1"/>
  <c r="S11" i="3" a="1"/>
  <c r="S62" i="3" a="1"/>
  <c r="S41" i="3" a="1"/>
  <c r="S61" i="3" a="1"/>
  <c r="S110" i="3" a="1"/>
  <c r="S34" i="3" a="1"/>
  <c r="P20" i="3" a="1"/>
  <c r="P56" i="3" a="1"/>
  <c r="P38" i="3" a="1"/>
  <c r="P101" i="3" a="1"/>
  <c r="P62" i="3" a="1"/>
  <c r="P82" i="3" a="1"/>
  <c r="P90" i="3" a="1"/>
  <c r="AA61" i="1" a="1"/>
  <c r="AA49" i="1" a="1"/>
  <c r="V64" i="3" a="1"/>
  <c r="V59" i="3" a="1"/>
  <c r="V15" i="3" a="1"/>
  <c r="S92" i="3" a="1"/>
  <c r="S50" i="3" a="1"/>
  <c r="S76" i="3" a="1"/>
  <c r="S57" i="3" a="1"/>
  <c r="S100" i="3" a="1"/>
  <c r="S23" i="3" a="1"/>
  <c r="S25" i="3" a="1"/>
  <c r="S10" i="3" a="1"/>
  <c r="S67" i="3" a="1"/>
  <c r="P94" i="3" a="1"/>
  <c r="P48" i="3" a="1"/>
  <c r="P108" i="3" a="1"/>
  <c r="P53" i="3" a="1"/>
  <c r="P54" i="3" a="1"/>
  <c r="P63" i="3" a="1"/>
  <c r="P21" i="3" a="1"/>
  <c r="P59" i="3" a="1"/>
  <c r="AA70" i="1" a="1"/>
  <c r="AA68" i="1" a="1"/>
  <c r="AA73" i="1" a="1"/>
  <c r="AA42" i="1" a="1"/>
  <c r="V88" i="3" a="1"/>
  <c r="V58" i="3" a="1"/>
  <c r="V29" i="3" a="1"/>
  <c r="V61" i="3" a="1"/>
  <c r="V110" i="3" a="1"/>
  <c r="V33" i="3" a="1"/>
  <c r="V66" i="3" a="1"/>
  <c r="V50" i="3" a="1"/>
  <c r="AA28" i="1" a="1"/>
  <c r="AA39" i="1" a="1"/>
  <c r="S101" i="3" a="1"/>
  <c r="S104" i="3" a="1"/>
  <c r="S33" i="3" a="1"/>
  <c r="S14" i="3" a="1"/>
  <c r="S38" i="3" a="1"/>
  <c r="S42" i="3" a="1"/>
  <c r="S28" i="3" a="1"/>
  <c r="P68" i="3" a="1"/>
  <c r="P104" i="3" a="1"/>
  <c r="P55" i="3" a="1"/>
  <c r="P12" i="3" a="1"/>
  <c r="P44" i="3" a="1"/>
  <c r="P28" i="3" a="1"/>
  <c r="P84" i="3" a="1"/>
  <c r="P80" i="3" a="1"/>
  <c r="AA12" i="1" a="1"/>
  <c r="V68" i="3" a="1"/>
  <c r="V69" i="3" a="1"/>
  <c r="V77" i="3" a="1"/>
  <c r="S52" i="3" a="1"/>
  <c r="S13" i="3" a="1"/>
  <c r="AA56" i="1" a="1"/>
  <c r="AA22" i="1" a="1"/>
  <c r="AA54" i="1" a="1"/>
  <c r="AA58" i="1" a="1"/>
  <c r="S37" i="3" a="1"/>
  <c r="S15" i="3" a="1"/>
  <c r="S17" i="3" a="1"/>
  <c r="S93" i="3" a="1"/>
  <c r="S65" i="3" a="1"/>
  <c r="S44" i="3" a="1"/>
  <c r="S36" i="3" a="1"/>
  <c r="S109" i="3" a="1"/>
  <c r="S85" i="3" a="1"/>
  <c r="P27" i="3" a="1"/>
  <c r="P61" i="3" a="1"/>
  <c r="P96" i="3" a="1"/>
  <c r="P66" i="3" a="1"/>
  <c r="P42" i="3" a="1"/>
  <c r="P41" i="3" a="1"/>
  <c r="P75" i="3" a="1"/>
  <c r="P105" i="3" a="1"/>
  <c r="AA63" i="1" a="1"/>
  <c r="AA17" i="1" a="1"/>
  <c r="AA33" i="1" a="1"/>
  <c r="AA62" i="1" a="1"/>
  <c r="V26" i="3" a="1"/>
  <c r="V107" i="3" a="1"/>
  <c r="V31" i="3" a="1"/>
  <c r="V12" i="3" a="1"/>
  <c r="V24" i="3" a="1"/>
  <c r="V72" i="3" a="1"/>
  <c r="V97" i="3" a="1"/>
  <c r="V51" i="3" a="1"/>
  <c r="AA55" i="1" a="1"/>
  <c r="AA52" i="1" a="1"/>
  <c r="P57" i="3" a="1"/>
  <c r="V21" i="3" a="1"/>
  <c r="V99" i="3" a="1"/>
  <c r="V73" i="3" a="1"/>
  <c r="V87" i="3" a="1"/>
  <c r="AA53" i="1" a="1"/>
  <c r="S45" i="3" a="1"/>
  <c r="S35" i="3" a="1"/>
  <c r="S40" i="3" a="1"/>
  <c r="S89" i="3" a="1"/>
  <c r="S70" i="3" a="1"/>
  <c r="S84" i="3" a="1"/>
  <c r="S81" i="3" a="1"/>
  <c r="S90" i="3" a="1"/>
  <c r="S88" i="3" a="1"/>
  <c r="P40" i="3" a="1"/>
  <c r="P18" i="3" a="1"/>
  <c r="P47" i="3" a="1"/>
  <c r="P58" i="3" a="1"/>
  <c r="P69" i="3" a="1"/>
  <c r="P109" i="3" a="1"/>
  <c r="P37" i="3" a="1"/>
  <c r="P46" i="3" a="1"/>
  <c r="AA11" i="1" a="1"/>
  <c r="AA64" i="1" a="1"/>
  <c r="AA34" i="1" a="1"/>
  <c r="AA50" i="1" a="1"/>
  <c r="V46" i="3" a="1"/>
  <c r="V106" i="3" a="1"/>
  <c r="V65" i="3" a="1"/>
  <c r="V98" i="3" a="1"/>
  <c r="V43" i="3" a="1"/>
  <c r="V54" i="3" a="1"/>
  <c r="V38" i="3" a="1"/>
  <c r="V11" i="3" a="1"/>
  <c r="AA38" i="1" a="1"/>
  <c r="AA47" i="1" a="1"/>
  <c r="AA26" i="1" a="1"/>
  <c r="AA16" i="1" a="1"/>
  <c r="S12" i="3" a="1"/>
  <c r="S30" i="3" a="1"/>
  <c r="S31" i="3" a="1"/>
  <c r="P24" i="3" a="1"/>
  <c r="P23" i="3" a="1"/>
  <c r="P73" i="3" a="1"/>
  <c r="P79" i="3" a="1"/>
  <c r="P83" i="3" a="1"/>
  <c r="P95" i="3" a="1"/>
  <c r="AA74" i="1" a="1"/>
  <c r="AA24" i="1" a="1"/>
  <c r="AA57" i="1" a="1"/>
  <c r="V71" i="3" a="1"/>
  <c r="V82" i="3" a="1"/>
  <c r="V41" i="3" a="1"/>
  <c r="V104" i="3" a="1"/>
  <c r="P74" i="3" a="1"/>
  <c r="P45" i="3" a="1"/>
  <c r="P88" i="3" a="1"/>
  <c r="V102" i="3" a="1"/>
  <c r="V17" i="3" a="1"/>
  <c r="V85" i="3" a="1"/>
  <c r="V39" i="3" a="1"/>
  <c r="V84" i="3" a="1"/>
  <c r="V37" i="3" a="1"/>
  <c r="V105" i="3" a="1"/>
  <c r="S39" i="3" a="1"/>
  <c r="S98" i="3" a="1"/>
  <c r="S51" i="3" a="1"/>
  <c r="S105" i="3" a="1"/>
  <c r="S29" i="3" a="1"/>
  <c r="S72" i="3" a="1"/>
  <c r="S26" i="3" a="1"/>
  <c r="S55" i="3" a="1"/>
  <c r="S24" i="3" a="1"/>
  <c r="P14" i="3" a="1"/>
  <c r="P49" i="3" a="1"/>
  <c r="P64" i="3" a="1"/>
  <c r="P15" i="3" a="1"/>
  <c r="P71" i="3" a="1"/>
  <c r="P93" i="3" a="1"/>
  <c r="P11" i="3" a="1"/>
  <c r="P31" i="3" a="1"/>
  <c r="V10" i="3" a="1"/>
  <c r="AA59" i="1" a="1"/>
  <c r="AA48" i="1" a="1"/>
  <c r="AA69" i="1" a="1"/>
  <c r="V63" i="3" a="1"/>
  <c r="V19" i="3" a="1"/>
  <c r="V92" i="3" a="1"/>
  <c r="V13" i="3" a="1"/>
  <c r="V27" i="3" a="1"/>
  <c r="V103" i="3" a="1"/>
  <c r="V47" i="3" a="1"/>
  <c r="V96" i="3" a="1"/>
  <c r="S59" i="3" a="1"/>
  <c r="S27" i="3" a="1"/>
  <c r="S80" i="3" a="1"/>
  <c r="P33" i="3" a="1"/>
  <c r="S60" i="3" a="1"/>
  <c r="S63" i="3" a="1"/>
  <c r="P78" i="3" a="1"/>
  <c r="AA21" i="1" a="1"/>
  <c r="V101" i="3" a="1"/>
  <c r="V80" i="3" a="1"/>
  <c r="AA35" i="1" a="1"/>
  <c r="P43" i="3" a="1"/>
  <c r="AA15" i="1" a="1"/>
  <c r="V81" i="3" a="1"/>
  <c r="V52" i="3" a="1"/>
  <c r="AA72" i="1" a="1"/>
  <c r="S87" i="3" a="1"/>
  <c r="S46" i="3" a="1"/>
  <c r="S48" i="3" a="1"/>
  <c r="S32" i="3" a="1"/>
  <c r="S21" i="3" a="1"/>
  <c r="S78" i="3" a="1"/>
  <c r="S103" i="3" a="1"/>
  <c r="S56" i="3" a="1"/>
  <c r="P99" i="3" a="1"/>
  <c r="P26" i="3" a="1"/>
  <c r="P10" i="3" a="1"/>
  <c r="P97" i="3" a="1"/>
  <c r="P77" i="3" a="1"/>
  <c r="P35" i="3" a="1"/>
  <c r="P89" i="3" a="1"/>
  <c r="P100" i="3" a="1"/>
  <c r="P92" i="3" a="1"/>
  <c r="AA37" i="1" a="1"/>
  <c r="AA44" i="1" a="1"/>
  <c r="AA14" i="1" a="1"/>
  <c r="V28" i="3" a="1"/>
  <c r="V108" i="3" a="1"/>
  <c r="V53" i="3" a="1"/>
  <c r="V36" i="3" a="1"/>
  <c r="V93" i="3" a="1"/>
  <c r="V60" i="3" a="1"/>
  <c r="V32" i="3" a="1"/>
  <c r="V45" i="3" a="1"/>
  <c r="V40" i="3" a="1"/>
  <c r="AA66" i="1" a="1"/>
  <c r="P81" i="3" a="1"/>
  <c r="P13" i="3" a="1"/>
  <c r="P22" i="3" a="1"/>
  <c r="P19" i="3" a="1"/>
  <c r="P65" i="3" a="1"/>
  <c r="P34" i="3" a="1"/>
  <c r="P52" i="3" a="1"/>
  <c r="P50" i="3" a="1"/>
  <c r="P98" i="3" a="1"/>
  <c r="AA65" i="1" a="1"/>
  <c r="V94" i="3" a="1"/>
  <c r="AA31" i="1" a="1"/>
  <c r="V100" i="3" a="1"/>
  <c r="V67" i="3" a="1"/>
  <c r="AA60" i="1" a="1"/>
  <c r="V83" i="3" a="1"/>
  <c r="AA20" i="1" a="1"/>
  <c r="W75" i="1" l="1"/>
  <c r="Y75" i="1" s="1"/>
  <c r="S24" i="3"/>
  <c r="T24" i="3" s="1"/>
  <c r="S88" i="3"/>
  <c r="U88" i="3" s="1"/>
  <c r="S85" i="3"/>
  <c r="U85" i="3" s="1"/>
  <c r="S28" i="3"/>
  <c r="U28" i="3" s="1"/>
  <c r="S67" i="3"/>
  <c r="T67" i="3" s="1"/>
  <c r="S34" i="3"/>
  <c r="T34" i="3" s="1"/>
  <c r="S96" i="3"/>
  <c r="T96" i="3" s="1"/>
  <c r="S86" i="3"/>
  <c r="T86" i="3" s="1"/>
  <c r="S54" i="3"/>
  <c r="U54" i="3" s="1"/>
  <c r="S47" i="3"/>
  <c r="T47" i="3" s="1"/>
  <c r="S56" i="3"/>
  <c r="T56" i="3" s="1"/>
  <c r="S31" i="3"/>
  <c r="T31" i="3" s="1"/>
  <c r="S55" i="3"/>
  <c r="U55" i="3" s="1"/>
  <c r="S90" i="3"/>
  <c r="U90" i="3" s="1"/>
  <c r="S109" i="3"/>
  <c r="U109" i="3" s="1"/>
  <c r="S42" i="3"/>
  <c r="U42" i="3" s="1"/>
  <c r="S110" i="3"/>
  <c r="T110" i="3" s="1"/>
  <c r="S71" i="3"/>
  <c r="T71" i="3" s="1"/>
  <c r="S94" i="3"/>
  <c r="T94" i="3" s="1"/>
  <c r="S107" i="3"/>
  <c r="T107" i="3" s="1"/>
  <c r="S19" i="3"/>
  <c r="U19" i="3" s="1"/>
  <c r="S103" i="3"/>
  <c r="U103" i="3" s="1"/>
  <c r="S80" i="3"/>
  <c r="T80" i="3" s="1"/>
  <c r="S26" i="3"/>
  <c r="T26" i="3" s="1"/>
  <c r="S81" i="3"/>
  <c r="U81" i="3" s="1"/>
  <c r="S36" i="3"/>
  <c r="U36" i="3" s="1"/>
  <c r="S38" i="3"/>
  <c r="U38" i="3" s="1"/>
  <c r="S25" i="3"/>
  <c r="T25" i="3" s="1"/>
  <c r="S61" i="3"/>
  <c r="U61" i="3" s="1"/>
  <c r="S74" i="3"/>
  <c r="U74" i="3" s="1"/>
  <c r="S83" i="3"/>
  <c r="U83" i="3" s="1"/>
  <c r="S69" i="3"/>
  <c r="U69" i="3" s="1"/>
  <c r="S82" i="3"/>
  <c r="T82" i="3" s="1"/>
  <c r="S78" i="3"/>
  <c r="T78" i="3" s="1"/>
  <c r="S27" i="3"/>
  <c r="U27" i="3" s="1"/>
  <c r="S72" i="3"/>
  <c r="T72" i="3" s="1"/>
  <c r="S84" i="3"/>
  <c r="T84" i="3" s="1"/>
  <c r="S44" i="3"/>
  <c r="T44" i="3" s="1"/>
  <c r="S14" i="3"/>
  <c r="T14" i="3" s="1"/>
  <c r="S23" i="3"/>
  <c r="U23" i="3" s="1"/>
  <c r="S41" i="3"/>
  <c r="T41" i="3" s="1"/>
  <c r="S20" i="3"/>
  <c r="U20" i="3" s="1"/>
  <c r="S99" i="3"/>
  <c r="U99" i="3" s="1"/>
  <c r="S91" i="3"/>
  <c r="T91" i="3" s="1"/>
  <c r="S97" i="3"/>
  <c r="U97" i="3" s="1"/>
  <c r="S21" i="3"/>
  <c r="U21" i="3" s="1"/>
  <c r="S63" i="3"/>
  <c r="U63" i="3" s="1"/>
  <c r="S29" i="3"/>
  <c r="T29" i="3" s="1"/>
  <c r="S70" i="3"/>
  <c r="T70" i="3" s="1"/>
  <c r="S65" i="3"/>
  <c r="T65" i="3" s="1"/>
  <c r="S33" i="3"/>
  <c r="U33" i="3" s="1"/>
  <c r="S100" i="3"/>
  <c r="U100" i="3" s="1"/>
  <c r="S62" i="3"/>
  <c r="T62" i="3" s="1"/>
  <c r="S68" i="3"/>
  <c r="S43" i="3"/>
  <c r="T43" i="3" s="1"/>
  <c r="S64" i="3"/>
  <c r="T64" i="3" s="1"/>
  <c r="S18" i="3"/>
  <c r="T18" i="3" s="1"/>
  <c r="S32" i="3"/>
  <c r="T32" i="3" s="1"/>
  <c r="S30" i="3"/>
  <c r="U30" i="3" s="1"/>
  <c r="S105" i="3"/>
  <c r="U105" i="3" s="1"/>
  <c r="S89" i="3"/>
  <c r="U89" i="3" s="1"/>
  <c r="S93" i="3"/>
  <c r="T93" i="3" s="1"/>
  <c r="S13" i="3"/>
  <c r="T13" i="3" s="1"/>
  <c r="S57" i="3"/>
  <c r="U57" i="3" s="1"/>
  <c r="S11" i="3"/>
  <c r="T11" i="3" s="1"/>
  <c r="S108" i="3"/>
  <c r="T108" i="3" s="1"/>
  <c r="S75" i="3"/>
  <c r="T75" i="3" s="1"/>
  <c r="S66" i="3"/>
  <c r="U66" i="3" s="1"/>
  <c r="S106" i="3"/>
  <c r="U106" i="3" s="1"/>
  <c r="S48" i="3"/>
  <c r="U48" i="3" s="1"/>
  <c r="S59" i="3"/>
  <c r="T59" i="3" s="1"/>
  <c r="S51" i="3"/>
  <c r="T51" i="3" s="1"/>
  <c r="S40" i="3"/>
  <c r="U40" i="3" s="1"/>
  <c r="S17" i="3"/>
  <c r="T17" i="3" s="1"/>
  <c r="S104" i="3"/>
  <c r="T104" i="3" s="1"/>
  <c r="S76" i="3"/>
  <c r="T76" i="3" s="1"/>
  <c r="S49" i="3"/>
  <c r="T49" i="3" s="1"/>
  <c r="S95" i="3"/>
  <c r="T95" i="3" s="1"/>
  <c r="S79" i="3"/>
  <c r="U79" i="3" s="1"/>
  <c r="S73" i="3"/>
  <c r="U73" i="3" s="1"/>
  <c r="S22" i="3"/>
  <c r="T22" i="3" s="1"/>
  <c r="S46" i="3"/>
  <c r="T46" i="3" s="1"/>
  <c r="S12" i="3"/>
  <c r="U12" i="3" s="1"/>
  <c r="S98" i="3"/>
  <c r="U98" i="3" s="1"/>
  <c r="S35" i="3"/>
  <c r="T35" i="3" s="1"/>
  <c r="S15" i="3"/>
  <c r="T15" i="3" s="1"/>
  <c r="S101" i="3"/>
  <c r="T101" i="3" s="1"/>
  <c r="S50" i="3"/>
  <c r="T50" i="3" s="1"/>
  <c r="S77" i="3"/>
  <c r="U77" i="3" s="1"/>
  <c r="S16" i="3"/>
  <c r="T16" i="3" s="1"/>
  <c r="S58" i="3"/>
  <c r="U58" i="3" s="1"/>
  <c r="S102" i="3"/>
  <c r="T102" i="3" s="1"/>
  <c r="S53" i="3"/>
  <c r="T53" i="3" s="1"/>
  <c r="S87" i="3"/>
  <c r="U87" i="3" s="1"/>
  <c r="S60" i="3"/>
  <c r="T60" i="3" s="1"/>
  <c r="S39" i="3"/>
  <c r="U39" i="3" s="1"/>
  <c r="S45" i="3"/>
  <c r="T45" i="3" s="1"/>
  <c r="S37" i="3"/>
  <c r="U37" i="3" s="1"/>
  <c r="S52" i="3"/>
  <c r="T52" i="3" s="1"/>
  <c r="S92" i="3"/>
  <c r="U92" i="3" s="1"/>
  <c r="S75" i="1"/>
  <c r="P88" i="3"/>
  <c r="Q88" i="3" s="1"/>
  <c r="P98" i="3"/>
  <c r="R98" i="3" s="1"/>
  <c r="P51" i="3"/>
  <c r="Q51" i="3" s="1"/>
  <c r="P92" i="3"/>
  <c r="R92" i="3" s="1"/>
  <c r="P95" i="3"/>
  <c r="Q95" i="3" s="1"/>
  <c r="P31" i="3"/>
  <c r="Q31" i="3" s="1"/>
  <c r="P46" i="3"/>
  <c r="Q46" i="3" s="1"/>
  <c r="P105" i="3"/>
  <c r="R105" i="3" s="1"/>
  <c r="P80" i="3"/>
  <c r="R80" i="3" s="1"/>
  <c r="P59" i="3"/>
  <c r="Q59" i="3" s="1"/>
  <c r="P90" i="3"/>
  <c r="Q90" i="3" s="1"/>
  <c r="P106" i="3"/>
  <c r="R106" i="3" s="1"/>
  <c r="P36" i="3"/>
  <c r="R36" i="3" s="1"/>
  <c r="P50" i="3"/>
  <c r="R50" i="3" s="1"/>
  <c r="P60" i="3"/>
  <c r="R60" i="3" s="1"/>
  <c r="P100" i="3"/>
  <c r="R100" i="3" s="1"/>
  <c r="P83" i="3"/>
  <c r="Q83" i="3" s="1"/>
  <c r="P11" i="3"/>
  <c r="Q11" i="3" s="1"/>
  <c r="P37" i="3"/>
  <c r="Q37" i="3" s="1"/>
  <c r="P75" i="3"/>
  <c r="Q75" i="3" s="1"/>
  <c r="P84" i="3"/>
  <c r="Q84" i="3" s="1"/>
  <c r="P21" i="3"/>
  <c r="Q21" i="3" s="1"/>
  <c r="P82" i="3"/>
  <c r="R82" i="3" s="1"/>
  <c r="P39" i="3"/>
  <c r="Q39" i="3" s="1"/>
  <c r="P17" i="3"/>
  <c r="Q17" i="3" s="1"/>
  <c r="P52" i="3"/>
  <c r="R52" i="3" s="1"/>
  <c r="P86" i="3"/>
  <c r="R86" i="3" s="1"/>
  <c r="P89" i="3"/>
  <c r="R89" i="3" s="1"/>
  <c r="P79" i="3"/>
  <c r="Q79" i="3" s="1"/>
  <c r="P93" i="3"/>
  <c r="Q93" i="3" s="1"/>
  <c r="P109" i="3"/>
  <c r="R109" i="3" s="1"/>
  <c r="P41" i="3"/>
  <c r="R41" i="3" s="1"/>
  <c r="P28" i="3"/>
  <c r="R28" i="3" s="1"/>
  <c r="P63" i="3"/>
  <c r="Q63" i="3" s="1"/>
  <c r="P70" i="3"/>
  <c r="Q70" i="3" s="1"/>
  <c r="P30" i="3"/>
  <c r="Q30" i="3" s="1"/>
  <c r="P25" i="3"/>
  <c r="Q25" i="3" s="1"/>
  <c r="P34" i="3"/>
  <c r="Q34" i="3" s="1"/>
  <c r="P67" i="3"/>
  <c r="Q67" i="3" s="1"/>
  <c r="P35" i="3"/>
  <c r="Q35" i="3" s="1"/>
  <c r="P57" i="3"/>
  <c r="Q57" i="3" s="1"/>
  <c r="P71" i="3"/>
  <c r="R71" i="3" s="1"/>
  <c r="P69" i="3"/>
  <c r="Q69" i="3" s="1"/>
  <c r="P42" i="3"/>
  <c r="R42" i="3" s="1"/>
  <c r="P44" i="3"/>
  <c r="Q44" i="3" s="1"/>
  <c r="P54" i="3"/>
  <c r="Q54" i="3" s="1"/>
  <c r="P62" i="3"/>
  <c r="Q62" i="3" s="1"/>
  <c r="P72" i="3"/>
  <c r="Q72" i="3" s="1"/>
  <c r="P45" i="3"/>
  <c r="Q45" i="3" s="1"/>
  <c r="P65" i="3"/>
  <c r="Q65" i="3" s="1"/>
  <c r="P16" i="3"/>
  <c r="R16" i="3" s="1"/>
  <c r="P77" i="3"/>
  <c r="Q77" i="3" s="1"/>
  <c r="P73" i="3"/>
  <c r="R73" i="3" s="1"/>
  <c r="P15" i="3"/>
  <c r="Q15" i="3" s="1"/>
  <c r="P58" i="3"/>
  <c r="R58" i="3" s="1"/>
  <c r="P66" i="3"/>
  <c r="Q66" i="3" s="1"/>
  <c r="P12" i="3"/>
  <c r="Q12" i="3" s="1"/>
  <c r="P53" i="3"/>
  <c r="Q53" i="3" s="1"/>
  <c r="P101" i="3"/>
  <c r="R101" i="3" s="1"/>
  <c r="P102" i="3"/>
  <c r="R102" i="3" s="1"/>
  <c r="P76" i="3"/>
  <c r="R76" i="3" s="1"/>
  <c r="P19" i="3"/>
  <c r="Q19" i="3" s="1"/>
  <c r="P87" i="3"/>
  <c r="R87" i="3" s="1"/>
  <c r="P97" i="3"/>
  <c r="R97" i="3" s="1"/>
  <c r="P23" i="3"/>
  <c r="R23" i="3" s="1"/>
  <c r="P64" i="3"/>
  <c r="Q64" i="3" s="1"/>
  <c r="P47" i="3"/>
  <c r="Q47" i="3" s="1"/>
  <c r="P96" i="3"/>
  <c r="R96" i="3" s="1"/>
  <c r="P55" i="3"/>
  <c r="Q55" i="3" s="1"/>
  <c r="P108" i="3"/>
  <c r="R108" i="3" s="1"/>
  <c r="P38" i="3"/>
  <c r="R38" i="3" s="1"/>
  <c r="P107" i="3"/>
  <c r="R107" i="3" s="1"/>
  <c r="P43" i="3"/>
  <c r="Q43" i="3" s="1"/>
  <c r="P22" i="3"/>
  <c r="R22" i="3" s="1"/>
  <c r="P103" i="3"/>
  <c r="R103" i="3" s="1"/>
  <c r="P78" i="3"/>
  <c r="R78" i="3" s="1"/>
  <c r="P49" i="3"/>
  <c r="Q49" i="3" s="1"/>
  <c r="P18" i="3"/>
  <c r="Q18" i="3" s="1"/>
  <c r="P61" i="3"/>
  <c r="R61" i="3" s="1"/>
  <c r="P104" i="3"/>
  <c r="R104" i="3" s="1"/>
  <c r="P48" i="3"/>
  <c r="Q48" i="3" s="1"/>
  <c r="P56" i="3"/>
  <c r="Q56" i="3" s="1"/>
  <c r="P85" i="3"/>
  <c r="R85" i="3" s="1"/>
  <c r="P74" i="3"/>
  <c r="Q74" i="3" s="1"/>
  <c r="P13" i="3"/>
  <c r="R13" i="3" s="1"/>
  <c r="P29" i="3"/>
  <c r="R29" i="3" s="1"/>
  <c r="P26" i="3"/>
  <c r="Q26" i="3" s="1"/>
  <c r="P24" i="3"/>
  <c r="R24" i="3" s="1"/>
  <c r="P14" i="3"/>
  <c r="R14" i="3" s="1"/>
  <c r="P40" i="3"/>
  <c r="Q40" i="3" s="1"/>
  <c r="P27" i="3"/>
  <c r="Q27" i="3" s="1"/>
  <c r="P68" i="3"/>
  <c r="R68" i="3" s="1"/>
  <c r="P94" i="3"/>
  <c r="Q94" i="3" s="1"/>
  <c r="P20" i="3"/>
  <c r="R20" i="3" s="1"/>
  <c r="P110" i="3"/>
  <c r="R110" i="3" s="1"/>
  <c r="P32" i="3"/>
  <c r="Q32" i="3" s="1"/>
  <c r="P81" i="3"/>
  <c r="R81" i="3" s="1"/>
  <c r="P91" i="3"/>
  <c r="R91" i="3" s="1"/>
  <c r="P99" i="3"/>
  <c r="Q99" i="3" s="1"/>
  <c r="P33" i="3"/>
  <c r="R33" i="3" s="1"/>
  <c r="Q75" i="1"/>
  <c r="R75" i="1" s="1"/>
  <c r="AA35" i="1"/>
  <c r="AA16" i="1"/>
  <c r="AA47" i="1"/>
  <c r="AA52" i="1"/>
  <c r="AA58" i="1"/>
  <c r="AA39" i="1"/>
  <c r="AA72" i="1"/>
  <c r="AA43" i="1"/>
  <c r="AA60" i="1"/>
  <c r="AA25" i="1"/>
  <c r="AA40" i="1"/>
  <c r="AA66" i="1"/>
  <c r="AA53" i="1"/>
  <c r="AA26" i="1"/>
  <c r="AA38" i="1"/>
  <c r="AA55" i="1"/>
  <c r="AA13" i="1"/>
  <c r="AA28" i="1"/>
  <c r="AA20" i="1"/>
  <c r="AA46" i="1"/>
  <c r="V14" i="3"/>
  <c r="W14" i="3" s="1"/>
  <c r="V62" i="3"/>
  <c r="W62" i="3" s="1"/>
  <c r="V34" i="3"/>
  <c r="W34" i="3" s="1"/>
  <c r="V40" i="3"/>
  <c r="W40" i="3" s="1"/>
  <c r="V82" i="3"/>
  <c r="W82" i="3" s="1"/>
  <c r="V96" i="3"/>
  <c r="W96" i="3" s="1"/>
  <c r="V11" i="3"/>
  <c r="W11" i="3" s="1"/>
  <c r="V51" i="3"/>
  <c r="W51" i="3" s="1"/>
  <c r="V77" i="3"/>
  <c r="W77" i="3" s="1"/>
  <c r="V50" i="3"/>
  <c r="W50" i="3" s="1"/>
  <c r="V16" i="3"/>
  <c r="W16" i="3" s="1"/>
  <c r="V22" i="3"/>
  <c r="W22" i="3" s="1"/>
  <c r="V78" i="3"/>
  <c r="W78" i="3" s="1"/>
  <c r="V90" i="3"/>
  <c r="W90" i="3" s="1"/>
  <c r="V76" i="3"/>
  <c r="W76" i="3" s="1"/>
  <c r="V45" i="3"/>
  <c r="W45" i="3" s="1"/>
  <c r="V87" i="3"/>
  <c r="W87" i="3" s="1"/>
  <c r="V47" i="3"/>
  <c r="W47" i="3" s="1"/>
  <c r="V38" i="3"/>
  <c r="W38" i="3" s="1"/>
  <c r="V97" i="3"/>
  <c r="W97" i="3" s="1"/>
  <c r="V109" i="3"/>
  <c r="W109" i="3" s="1"/>
  <c r="V66" i="3"/>
  <c r="W66" i="3" s="1"/>
  <c r="V84" i="3"/>
  <c r="W84" i="3" s="1"/>
  <c r="V35" i="3"/>
  <c r="W35" i="3" s="1"/>
  <c r="V39" i="3"/>
  <c r="W39" i="3" s="1"/>
  <c r="V104" i="3"/>
  <c r="W104" i="3" s="1"/>
  <c r="V70" i="3"/>
  <c r="W70" i="3" s="1"/>
  <c r="V32" i="3"/>
  <c r="W32" i="3" s="1"/>
  <c r="V73" i="3"/>
  <c r="W73" i="3" s="1"/>
  <c r="V103" i="3"/>
  <c r="W103" i="3" s="1"/>
  <c r="V54" i="3"/>
  <c r="W54" i="3" s="1"/>
  <c r="V72" i="3"/>
  <c r="W72" i="3" s="1"/>
  <c r="V105" i="3"/>
  <c r="W105" i="3" s="1"/>
  <c r="V33" i="3"/>
  <c r="W33" i="3" s="1"/>
  <c r="V52" i="3"/>
  <c r="W52" i="3" s="1"/>
  <c r="V20" i="3"/>
  <c r="W20" i="3" s="1"/>
  <c r="V67" i="3"/>
  <c r="W67" i="3" s="1"/>
  <c r="V91" i="3"/>
  <c r="W91" i="3" s="1"/>
  <c r="V42" i="3"/>
  <c r="W42" i="3" s="1"/>
  <c r="V60" i="3"/>
  <c r="W60" i="3" s="1"/>
  <c r="V99" i="3"/>
  <c r="W99" i="3" s="1"/>
  <c r="V27" i="3"/>
  <c r="W27" i="3" s="1"/>
  <c r="V43" i="3"/>
  <c r="W43" i="3" s="1"/>
  <c r="V24" i="3"/>
  <c r="W24" i="3" s="1"/>
  <c r="V15" i="3"/>
  <c r="W15" i="3" s="1"/>
  <c r="V110" i="3"/>
  <c r="W110" i="3" s="1"/>
  <c r="V25" i="3"/>
  <c r="W25" i="3" s="1"/>
  <c r="V55" i="3"/>
  <c r="W55" i="3" s="1"/>
  <c r="V85" i="3"/>
  <c r="W85" i="3" s="1"/>
  <c r="V30" i="3"/>
  <c r="W30" i="3" s="1"/>
  <c r="V48" i="3"/>
  <c r="W48" i="3" s="1"/>
  <c r="V93" i="3"/>
  <c r="W93" i="3" s="1"/>
  <c r="V21" i="3"/>
  <c r="W21" i="3" s="1"/>
  <c r="V13" i="3"/>
  <c r="W13" i="3" s="1"/>
  <c r="V98" i="3"/>
  <c r="W98" i="3" s="1"/>
  <c r="V12" i="3"/>
  <c r="W12" i="3" s="1"/>
  <c r="V37" i="3"/>
  <c r="W37" i="3" s="1"/>
  <c r="V61" i="3"/>
  <c r="W61" i="3" s="1"/>
  <c r="V83" i="3"/>
  <c r="W83" i="3" s="1"/>
  <c r="V18" i="3"/>
  <c r="W18" i="3" s="1"/>
  <c r="V81" i="3"/>
  <c r="W81" i="3" s="1"/>
  <c r="V41" i="3"/>
  <c r="W41" i="3" s="1"/>
  <c r="V79" i="3"/>
  <c r="W79" i="3" s="1"/>
  <c r="V36" i="3"/>
  <c r="W36" i="3" s="1"/>
  <c r="V80" i="3"/>
  <c r="W80" i="3" s="1"/>
  <c r="V92" i="3"/>
  <c r="W92" i="3" s="1"/>
  <c r="V65" i="3"/>
  <c r="W65" i="3" s="1"/>
  <c r="V31" i="3"/>
  <c r="W31" i="3" s="1"/>
  <c r="V49" i="3"/>
  <c r="W49" i="3" s="1"/>
  <c r="V29" i="3"/>
  <c r="W29" i="3" s="1"/>
  <c r="V59" i="3"/>
  <c r="W59" i="3" s="1"/>
  <c r="V75" i="3"/>
  <c r="W75" i="3" s="1"/>
  <c r="V100" i="3"/>
  <c r="W100" i="3" s="1"/>
  <c r="V56" i="3"/>
  <c r="W56" i="3" s="1"/>
  <c r="V86" i="3"/>
  <c r="W86" i="3" s="1"/>
  <c r="V53" i="3"/>
  <c r="W53" i="3" s="1"/>
  <c r="V71" i="3"/>
  <c r="W71" i="3" s="1"/>
  <c r="V19" i="3"/>
  <c r="W19" i="3" s="1"/>
  <c r="V106" i="3"/>
  <c r="W106" i="3" s="1"/>
  <c r="V107" i="3"/>
  <c r="W107" i="3" s="1"/>
  <c r="V69" i="3"/>
  <c r="W69" i="3" s="1"/>
  <c r="V58" i="3"/>
  <c r="W58" i="3" s="1"/>
  <c r="V44" i="3"/>
  <c r="W44" i="3" s="1"/>
  <c r="V74" i="3"/>
  <c r="W74" i="3" s="1"/>
  <c r="V17" i="3"/>
  <c r="W17" i="3" s="1"/>
  <c r="V94" i="3"/>
  <c r="W94" i="3" s="1"/>
  <c r="V89" i="3"/>
  <c r="W89" i="3" s="1"/>
  <c r="V108" i="3"/>
  <c r="W108" i="3" s="1"/>
  <c r="V101" i="3"/>
  <c r="W101" i="3" s="1"/>
  <c r="V63" i="3"/>
  <c r="W63" i="3" s="1"/>
  <c r="V46" i="3"/>
  <c r="W46" i="3" s="1"/>
  <c r="V26" i="3"/>
  <c r="W26" i="3" s="1"/>
  <c r="V68" i="3"/>
  <c r="W68" i="3" s="1"/>
  <c r="V88" i="3"/>
  <c r="W88" i="3" s="1"/>
  <c r="V64" i="3"/>
  <c r="W64" i="3" s="1"/>
  <c r="V23" i="3"/>
  <c r="W23" i="3" s="1"/>
  <c r="V102" i="3"/>
  <c r="W102" i="3" s="1"/>
  <c r="V95" i="3"/>
  <c r="W95" i="3" s="1"/>
  <c r="V57" i="3"/>
  <c r="W57" i="3" s="1"/>
  <c r="V28" i="3"/>
  <c r="W28" i="3" s="1"/>
  <c r="AA57" i="1"/>
  <c r="AA69" i="1"/>
  <c r="AA50" i="1"/>
  <c r="AA62" i="1"/>
  <c r="AA54" i="1"/>
  <c r="AA42" i="1"/>
  <c r="AA30" i="1"/>
  <c r="AA23" i="1"/>
  <c r="AA41" i="1"/>
  <c r="AA65" i="1"/>
  <c r="AA18" i="1"/>
  <c r="AA14" i="1"/>
  <c r="AA24" i="1"/>
  <c r="AA48" i="1"/>
  <c r="AA34" i="1"/>
  <c r="AA33" i="1"/>
  <c r="AA22" i="1"/>
  <c r="AA73" i="1"/>
  <c r="AA49" i="1"/>
  <c r="AA67" i="1"/>
  <c r="AA15" i="1"/>
  <c r="AA71" i="1"/>
  <c r="AA32" i="1"/>
  <c r="AA44" i="1"/>
  <c r="AA21" i="1"/>
  <c r="AA59" i="1"/>
  <c r="AA64" i="1"/>
  <c r="AA17" i="1"/>
  <c r="AA56" i="1"/>
  <c r="AA68" i="1"/>
  <c r="AA36" i="1"/>
  <c r="AA29" i="1"/>
  <c r="AA31" i="1"/>
  <c r="AA51" i="1"/>
  <c r="AA27" i="1"/>
  <c r="AA37" i="1"/>
  <c r="AA74" i="1"/>
  <c r="AA63" i="1"/>
  <c r="AA12" i="1"/>
  <c r="AA70" i="1"/>
  <c r="AA61" i="1"/>
  <c r="AA45" i="1"/>
  <c r="Q107" i="3"/>
  <c r="U108" i="3"/>
  <c r="Y63" i="1"/>
  <c r="Y24" i="1"/>
  <c r="Y45" i="1"/>
  <c r="Y31" i="1"/>
  <c r="Y59" i="1"/>
  <c r="U38" i="1"/>
  <c r="U40" i="1"/>
  <c r="Y32" i="1"/>
  <c r="Y74" i="1"/>
  <c r="Y66" i="1"/>
  <c r="Y18" i="1"/>
  <c r="Y40" i="1"/>
  <c r="Y43" i="1"/>
  <c r="Y49" i="1"/>
  <c r="Y41" i="1"/>
  <c r="Y68" i="1"/>
  <c r="Y34" i="1"/>
  <c r="Y57" i="1"/>
  <c r="Y16" i="1"/>
  <c r="Y27" i="1"/>
  <c r="Y61" i="1"/>
  <c r="U71" i="1"/>
  <c r="U62" i="1"/>
  <c r="U56" i="1"/>
  <c r="U59" i="1"/>
  <c r="U25" i="1"/>
  <c r="Y60" i="1"/>
  <c r="Y15" i="1"/>
  <c r="Y42" i="1"/>
  <c r="Y20" i="1"/>
  <c r="Y21" i="1"/>
  <c r="Y69" i="1"/>
  <c r="Y17" i="1"/>
  <c r="Y38" i="1"/>
  <c r="Y56" i="1"/>
  <c r="Y55" i="1"/>
  <c r="Y62" i="1"/>
  <c r="Y72" i="1"/>
  <c r="Y53" i="1"/>
  <c r="Y11" i="1"/>
  <c r="Y37" i="1"/>
  <c r="Y47" i="1"/>
  <c r="U74" i="1"/>
  <c r="U53" i="1"/>
  <c r="U15" i="1"/>
  <c r="U49" i="1"/>
  <c r="U52" i="1"/>
  <c r="U17" i="1"/>
  <c r="U57" i="1"/>
  <c r="U60" i="1"/>
  <c r="U20" i="1"/>
  <c r="U68" i="1"/>
  <c r="U37" i="1"/>
  <c r="U31" i="1"/>
  <c r="U32" i="1"/>
  <c r="U41" i="1"/>
  <c r="U16" i="1"/>
  <c r="U29" i="1"/>
  <c r="U75" i="1"/>
  <c r="U64" i="1"/>
  <c r="U36" i="1"/>
  <c r="U47" i="1"/>
  <c r="U66" i="1"/>
  <c r="U35" i="1"/>
  <c r="U54" i="1"/>
  <c r="U39" i="1"/>
  <c r="U18" i="1"/>
  <c r="U45" i="1"/>
  <c r="U46" i="1"/>
  <c r="U27" i="1"/>
  <c r="U42" i="1"/>
  <c r="U33" i="1"/>
  <c r="U22" i="1"/>
  <c r="U51" i="1"/>
  <c r="U61" i="1"/>
  <c r="U58" i="1"/>
  <c r="U48" i="1"/>
  <c r="U43" i="1"/>
  <c r="U69" i="1"/>
  <c r="U11" i="1"/>
  <c r="U26" i="1"/>
  <c r="U44" i="1"/>
  <c r="U70" i="1"/>
  <c r="T74" i="3"/>
  <c r="S10" i="3"/>
  <c r="U10" i="3" s="1"/>
  <c r="V10" i="3"/>
  <c r="W10" i="3" s="1"/>
  <c r="T68" i="3"/>
  <c r="P10" i="3"/>
  <c r="R10" i="3" s="1"/>
  <c r="AA11" i="1"/>
  <c r="Z46" i="1"/>
  <c r="X46" i="1"/>
  <c r="V46" i="1"/>
  <c r="T46" i="1"/>
  <c r="R46" i="1"/>
  <c r="Y54" i="1"/>
  <c r="U72" i="1"/>
  <c r="Z67" i="1"/>
  <c r="X67" i="1"/>
  <c r="R67" i="1"/>
  <c r="V67" i="1"/>
  <c r="T67" i="1"/>
  <c r="Y52" i="1"/>
  <c r="X63" i="1"/>
  <c r="Z63" i="1"/>
  <c r="R63" i="1"/>
  <c r="V63" i="1"/>
  <c r="T63" i="1"/>
  <c r="Y22" i="1"/>
  <c r="Y25" i="1"/>
  <c r="U34" i="1"/>
  <c r="U14" i="1"/>
  <c r="Z27" i="1"/>
  <c r="X27" i="1"/>
  <c r="R27" i="1"/>
  <c r="V27" i="1"/>
  <c r="T27" i="1"/>
  <c r="Y26" i="1"/>
  <c r="Z28" i="1"/>
  <c r="X28" i="1"/>
  <c r="T28" i="1"/>
  <c r="V28" i="1"/>
  <c r="R28" i="1"/>
  <c r="Y64" i="1"/>
  <c r="Z68" i="1"/>
  <c r="X68" i="1"/>
  <c r="T68" i="1"/>
  <c r="V68" i="1"/>
  <c r="R68" i="1"/>
  <c r="Z22" i="1"/>
  <c r="X22" i="1"/>
  <c r="V22" i="1"/>
  <c r="T22" i="1"/>
  <c r="R22" i="1"/>
  <c r="Z15" i="1"/>
  <c r="X15" i="1"/>
  <c r="R15" i="1"/>
  <c r="T15" i="1"/>
  <c r="V15" i="1"/>
  <c r="Y71" i="1"/>
  <c r="Z48" i="1"/>
  <c r="X48" i="1"/>
  <c r="V48" i="1"/>
  <c r="T48" i="1"/>
  <c r="R48" i="1"/>
  <c r="U65" i="1"/>
  <c r="X17" i="1"/>
  <c r="Z17" i="1"/>
  <c r="R17" i="1"/>
  <c r="T17" i="1"/>
  <c r="V17" i="1"/>
  <c r="Z56" i="1"/>
  <c r="X56" i="1"/>
  <c r="R56" i="1"/>
  <c r="V56" i="1"/>
  <c r="T56" i="1"/>
  <c r="X44" i="1"/>
  <c r="Z44" i="1"/>
  <c r="V44" i="1"/>
  <c r="T44" i="1"/>
  <c r="R44" i="1"/>
  <c r="Z50" i="1"/>
  <c r="X50" i="1"/>
  <c r="V50" i="1"/>
  <c r="R50" i="1"/>
  <c r="T50" i="1"/>
  <c r="X20" i="1"/>
  <c r="Z20" i="1"/>
  <c r="R20" i="1"/>
  <c r="V20" i="1"/>
  <c r="T20" i="1"/>
  <c r="X43" i="1"/>
  <c r="Z43" i="1"/>
  <c r="R43" i="1"/>
  <c r="T43" i="1"/>
  <c r="V43" i="1"/>
  <c r="Z71" i="1"/>
  <c r="X71" i="1"/>
  <c r="V71" i="1"/>
  <c r="T71" i="1"/>
  <c r="R71" i="1"/>
  <c r="Z61" i="1"/>
  <c r="X61" i="1"/>
  <c r="V61" i="1"/>
  <c r="T61" i="1"/>
  <c r="R61" i="1"/>
  <c r="Z64" i="1"/>
  <c r="X64" i="1"/>
  <c r="T64" i="1"/>
  <c r="R64" i="1"/>
  <c r="V64" i="1"/>
  <c r="Y65" i="1"/>
  <c r="X31" i="1"/>
  <c r="Z31" i="1"/>
  <c r="R31" i="1"/>
  <c r="V31" i="1"/>
  <c r="T31" i="1"/>
  <c r="Z41" i="1"/>
  <c r="X41" i="1"/>
  <c r="V41" i="1"/>
  <c r="T41" i="1"/>
  <c r="R41" i="1"/>
  <c r="Z21" i="1"/>
  <c r="X21" i="1"/>
  <c r="V21" i="1"/>
  <c r="T21" i="1"/>
  <c r="R21" i="1"/>
  <c r="Z58" i="1"/>
  <c r="X58" i="1"/>
  <c r="V58" i="1"/>
  <c r="T58" i="1"/>
  <c r="R58" i="1"/>
  <c r="Z70" i="1"/>
  <c r="X70" i="1"/>
  <c r="V70" i="1"/>
  <c r="T70" i="1"/>
  <c r="R70" i="1"/>
  <c r="Y70" i="1"/>
  <c r="U63" i="1"/>
  <c r="U50" i="1"/>
  <c r="U21" i="1"/>
  <c r="Z35" i="1"/>
  <c r="X35" i="1"/>
  <c r="T35" i="1"/>
  <c r="V35" i="1"/>
  <c r="R35" i="1"/>
  <c r="U28" i="1"/>
  <c r="Z40" i="1"/>
  <c r="X40" i="1"/>
  <c r="R40" i="1"/>
  <c r="V40" i="1"/>
  <c r="T40" i="1"/>
  <c r="Y48" i="1"/>
  <c r="Y23" i="1"/>
  <c r="Y29" i="1"/>
  <c r="U24" i="1"/>
  <c r="Z55" i="1"/>
  <c r="X55" i="1"/>
  <c r="T55" i="1"/>
  <c r="R55" i="1"/>
  <c r="V55" i="1"/>
  <c r="U73" i="1"/>
  <c r="Z60" i="1"/>
  <c r="X60" i="1"/>
  <c r="R60" i="1"/>
  <c r="V60" i="1"/>
  <c r="T60" i="1"/>
  <c r="Y67" i="1"/>
  <c r="Y58" i="1"/>
  <c r="Z54" i="1"/>
  <c r="X54" i="1"/>
  <c r="T54" i="1"/>
  <c r="V54" i="1"/>
  <c r="R54" i="1"/>
  <c r="Z16" i="1"/>
  <c r="X16" i="1"/>
  <c r="V16" i="1"/>
  <c r="T16" i="1"/>
  <c r="R16" i="1"/>
  <c r="Z51" i="1"/>
  <c r="X51" i="1"/>
  <c r="T51" i="1"/>
  <c r="R51" i="1"/>
  <c r="V51" i="1"/>
  <c r="Y14" i="1"/>
  <c r="Y33" i="1"/>
  <c r="U67" i="1"/>
  <c r="X62" i="1"/>
  <c r="Z62" i="1"/>
  <c r="R62" i="1"/>
  <c r="V62" i="1"/>
  <c r="T62" i="1"/>
  <c r="U23" i="1"/>
  <c r="Z72" i="1"/>
  <c r="X72" i="1"/>
  <c r="R72" i="1"/>
  <c r="V72" i="1"/>
  <c r="T72" i="1"/>
  <c r="Y73" i="1"/>
  <c r="Y36" i="1"/>
  <c r="Y35" i="1"/>
  <c r="Y50" i="1"/>
  <c r="Z49" i="1"/>
  <c r="X49" i="1"/>
  <c r="V49" i="1"/>
  <c r="T49" i="1"/>
  <c r="R49" i="1"/>
  <c r="Z65" i="1"/>
  <c r="X65" i="1"/>
  <c r="T65" i="1"/>
  <c r="V65" i="1"/>
  <c r="R65" i="1"/>
  <c r="U12" i="1"/>
  <c r="S10" i="1"/>
  <c r="Z38" i="1"/>
  <c r="X38" i="1"/>
  <c r="V38" i="1"/>
  <c r="T38" i="1"/>
  <c r="R38" i="1"/>
  <c r="Z12" i="1"/>
  <c r="X12" i="1"/>
  <c r="V12" i="1"/>
  <c r="R12" i="1"/>
  <c r="T12" i="1"/>
  <c r="Q10" i="1"/>
  <c r="U55" i="1"/>
  <c r="Y46" i="1"/>
  <c r="Z59" i="1"/>
  <c r="X59" i="1"/>
  <c r="T59" i="1"/>
  <c r="V59" i="1"/>
  <c r="R59" i="1"/>
  <c r="R45" i="3"/>
  <c r="Z37" i="1"/>
  <c r="X37" i="1"/>
  <c r="V37" i="1"/>
  <c r="T37" i="1"/>
  <c r="R37" i="1"/>
  <c r="Z53" i="1"/>
  <c r="X53" i="1"/>
  <c r="T53" i="1"/>
  <c r="V53" i="1"/>
  <c r="R53" i="1"/>
  <c r="Z26" i="1"/>
  <c r="X26" i="1"/>
  <c r="R26" i="1"/>
  <c r="V26" i="1"/>
  <c r="T26" i="1"/>
  <c r="Z34" i="1"/>
  <c r="X34" i="1"/>
  <c r="T34" i="1"/>
  <c r="V34" i="1"/>
  <c r="R34" i="1"/>
  <c r="Z36" i="1"/>
  <c r="X36" i="1"/>
  <c r="R36" i="1"/>
  <c r="V36" i="1"/>
  <c r="T36" i="1"/>
  <c r="Z25" i="1"/>
  <c r="X25" i="1"/>
  <c r="V25" i="1"/>
  <c r="T25" i="1"/>
  <c r="R25" i="1"/>
  <c r="Y28" i="1"/>
  <c r="Z47" i="1"/>
  <c r="X47" i="1"/>
  <c r="V47" i="1"/>
  <c r="T47" i="1"/>
  <c r="R47" i="1"/>
  <c r="Q29" i="3"/>
  <c r="Z42" i="1"/>
  <c r="X42" i="1"/>
  <c r="V42" i="1"/>
  <c r="R42" i="1"/>
  <c r="T42" i="1"/>
  <c r="Z23" i="1"/>
  <c r="X23" i="1"/>
  <c r="R23" i="1"/>
  <c r="T23" i="1"/>
  <c r="V23" i="1"/>
  <c r="X45" i="1"/>
  <c r="Z45" i="1"/>
  <c r="R45" i="1"/>
  <c r="V45" i="1"/>
  <c r="T45" i="1"/>
  <c r="Z14" i="1"/>
  <c r="X14" i="1"/>
  <c r="R14" i="1"/>
  <c r="V14" i="1"/>
  <c r="T14" i="1"/>
  <c r="Y12" i="1"/>
  <c r="W10" i="1"/>
  <c r="Z73" i="1"/>
  <c r="X73" i="1"/>
  <c r="T73" i="1"/>
  <c r="V73" i="1"/>
  <c r="R73" i="1"/>
  <c r="Y51" i="1"/>
  <c r="Z52" i="1"/>
  <c r="X52" i="1"/>
  <c r="V52" i="1"/>
  <c r="T52" i="1"/>
  <c r="R52" i="1"/>
  <c r="Z66" i="1"/>
  <c r="X66" i="1"/>
  <c r="V66" i="1"/>
  <c r="T66" i="1"/>
  <c r="R66" i="1"/>
  <c r="X32" i="1"/>
  <c r="Z32" i="1"/>
  <c r="V32" i="1"/>
  <c r="R32" i="1"/>
  <c r="T32" i="1"/>
  <c r="X33" i="1"/>
  <c r="Z33" i="1"/>
  <c r="R33" i="1"/>
  <c r="T33" i="1"/>
  <c r="V33" i="1"/>
  <c r="Z74" i="1"/>
  <c r="X74" i="1"/>
  <c r="V74" i="1"/>
  <c r="T74" i="1"/>
  <c r="R74" i="1"/>
  <c r="Y44" i="1"/>
  <c r="Z29" i="1"/>
  <c r="X29" i="1"/>
  <c r="R29" i="1"/>
  <c r="V29" i="1"/>
  <c r="T29" i="1"/>
  <c r="Z24" i="1"/>
  <c r="X24" i="1"/>
  <c r="R24" i="1"/>
  <c r="V24" i="1"/>
  <c r="T24" i="1"/>
  <c r="X69" i="1"/>
  <c r="Z69" i="1"/>
  <c r="R69" i="1"/>
  <c r="V69" i="1"/>
  <c r="T69" i="1"/>
  <c r="X18" i="1"/>
  <c r="Z18" i="1"/>
  <c r="T18" i="1"/>
  <c r="R18" i="1"/>
  <c r="V18" i="1"/>
  <c r="Z39" i="1"/>
  <c r="X39" i="1"/>
  <c r="R39" i="1"/>
  <c r="V39" i="1"/>
  <c r="T39" i="1"/>
  <c r="Y39" i="1"/>
  <c r="Z11" i="1"/>
  <c r="X11" i="1"/>
  <c r="T11" i="1"/>
  <c r="V11" i="1"/>
  <c r="R11" i="1"/>
  <c r="X57" i="1"/>
  <c r="Z57" i="1"/>
  <c r="R57" i="1"/>
  <c r="V57" i="1"/>
  <c r="T57" i="1"/>
  <c r="U49" i="3" l="1"/>
  <c r="R15" i="3"/>
  <c r="Q13" i="3"/>
  <c r="Q109" i="3"/>
  <c r="Q61" i="3"/>
  <c r="U25" i="3"/>
  <c r="Q58" i="3"/>
  <c r="X75" i="1"/>
  <c r="U80" i="3"/>
  <c r="U56" i="3"/>
  <c r="R46" i="3"/>
  <c r="Q41" i="3"/>
  <c r="R69" i="3"/>
  <c r="Q87" i="3"/>
  <c r="Q105" i="3"/>
  <c r="Q68" i="3"/>
  <c r="Q100" i="3"/>
  <c r="Q73" i="3"/>
  <c r="R40" i="3"/>
  <c r="T100" i="3"/>
  <c r="U50" i="3"/>
  <c r="U41" i="3"/>
  <c r="U110" i="3"/>
  <c r="T77" i="3"/>
  <c r="U101" i="3"/>
  <c r="T99" i="3"/>
  <c r="U13" i="3"/>
  <c r="U45" i="3"/>
  <c r="T10" i="3"/>
  <c r="T103" i="3"/>
  <c r="U104" i="3"/>
  <c r="T54" i="3"/>
  <c r="U102" i="3"/>
  <c r="T90" i="3"/>
  <c r="U52" i="3"/>
  <c r="T88" i="3"/>
  <c r="T55" i="3"/>
  <c r="T106" i="3"/>
  <c r="T109" i="3"/>
  <c r="U107" i="3"/>
  <c r="T105" i="3"/>
  <c r="Q104" i="3"/>
  <c r="R84" i="3"/>
  <c r="Q38" i="3"/>
  <c r="Q101" i="3"/>
  <c r="Q110" i="3"/>
  <c r="T75" i="1"/>
  <c r="R65" i="3"/>
  <c r="R67" i="3"/>
  <c r="Q52" i="3"/>
  <c r="R94" i="3"/>
  <c r="R75" i="3"/>
  <c r="Q106" i="3"/>
  <c r="Q102" i="3"/>
  <c r="V75" i="1"/>
  <c r="R99" i="3"/>
  <c r="Q103" i="3"/>
  <c r="Q108" i="3"/>
  <c r="Z75" i="1"/>
  <c r="AA75" i="1"/>
  <c r="AB75" i="1" s="1"/>
  <c r="U71" i="3"/>
  <c r="U67" i="3"/>
  <c r="U72" i="3"/>
  <c r="U94" i="3"/>
  <c r="U31" i="3"/>
  <c r="R59" i="3"/>
  <c r="T39" i="3"/>
  <c r="Q23" i="3"/>
  <c r="Q86" i="3"/>
  <c r="T23" i="3"/>
  <c r="T28" i="3"/>
  <c r="R47" i="3"/>
  <c r="Q10" i="3"/>
  <c r="U53" i="3"/>
  <c r="R25" i="3"/>
  <c r="T79" i="3"/>
  <c r="Q78" i="3"/>
  <c r="U78" i="3"/>
  <c r="R55" i="3"/>
  <c r="U86" i="3"/>
  <c r="T38" i="3"/>
  <c r="R26" i="3"/>
  <c r="Q82" i="3"/>
  <c r="Q50" i="3"/>
  <c r="R37" i="3"/>
  <c r="R95" i="3"/>
  <c r="U32" i="3"/>
  <c r="T87" i="3"/>
  <c r="U75" i="3"/>
  <c r="R49" i="3"/>
  <c r="R43" i="3"/>
  <c r="U84" i="3"/>
  <c r="U43" i="3"/>
  <c r="U65" i="3"/>
  <c r="T42" i="3"/>
  <c r="U51" i="3"/>
  <c r="U62" i="3"/>
  <c r="R27" i="3"/>
  <c r="R64" i="3"/>
  <c r="Q80" i="3"/>
  <c r="T92" i="3"/>
  <c r="R77" i="3"/>
  <c r="U26" i="3"/>
  <c r="T48" i="3"/>
  <c r="U59" i="3"/>
  <c r="R11" i="3"/>
  <c r="U91" i="3"/>
  <c r="U29" i="3"/>
  <c r="U15" i="3"/>
  <c r="R62" i="3"/>
  <c r="T85" i="3"/>
  <c r="U93" i="3"/>
  <c r="R90" i="3"/>
  <c r="T83" i="3"/>
  <c r="T69" i="3"/>
  <c r="R88" i="3"/>
  <c r="R48" i="3"/>
  <c r="R83" i="3"/>
  <c r="Q20" i="3"/>
  <c r="U76" i="3"/>
  <c r="R21" i="3"/>
  <c r="T97" i="3"/>
  <c r="R63" i="3"/>
  <c r="Q97" i="3"/>
  <c r="Q28" i="3"/>
  <c r="T12" i="3"/>
  <c r="R17" i="3"/>
  <c r="Q24" i="3"/>
  <c r="R74" i="3"/>
  <c r="Q71" i="3"/>
  <c r="T27" i="3"/>
  <c r="T20" i="3"/>
  <c r="R72" i="3"/>
  <c r="R54" i="3"/>
  <c r="R51" i="3"/>
  <c r="U22" i="3"/>
  <c r="U96" i="3"/>
  <c r="R93" i="3"/>
  <c r="Q81" i="3"/>
  <c r="Q89" i="3"/>
  <c r="U82" i="3"/>
  <c r="U14" i="3"/>
  <c r="T63" i="3"/>
  <c r="R53" i="3"/>
  <c r="T73" i="3"/>
  <c r="Q36" i="3"/>
  <c r="R44" i="3"/>
  <c r="R35" i="3"/>
  <c r="R56" i="3"/>
  <c r="T57" i="3"/>
  <c r="U95" i="3"/>
  <c r="T21" i="3"/>
  <c r="T98" i="3"/>
  <c r="T66" i="3"/>
  <c r="U17" i="3"/>
  <c r="R19" i="3"/>
  <c r="R12" i="3"/>
  <c r="U35" i="3"/>
  <c r="Q96" i="3"/>
  <c r="T58" i="3"/>
  <c r="R39" i="3"/>
  <c r="Q92" i="3"/>
  <c r="U11" i="3"/>
  <c r="R66" i="3"/>
  <c r="Q14" i="3"/>
  <c r="T40" i="3"/>
  <c r="Q42" i="3"/>
  <c r="R32" i="3"/>
  <c r="T89" i="3"/>
  <c r="Q85" i="3"/>
  <c r="U44" i="3"/>
  <c r="U68" i="3"/>
  <c r="T61" i="3"/>
  <c r="T81" i="3"/>
  <c r="Q91" i="3"/>
  <c r="U47" i="3"/>
  <c r="U46" i="3"/>
  <c r="R31" i="3"/>
  <c r="T19" i="3"/>
  <c r="R18" i="3"/>
  <c r="T37" i="3"/>
  <c r="T33" i="3"/>
  <c r="U34" i="3"/>
  <c r="AB59" i="1"/>
  <c r="Q60" i="3"/>
  <c r="U70" i="3"/>
  <c r="AB17" i="1"/>
  <c r="AB40" i="1"/>
  <c r="AB61" i="1"/>
  <c r="Q22" i="3"/>
  <c r="R79" i="3"/>
  <c r="AB16" i="1"/>
  <c r="Q76" i="3"/>
  <c r="R34" i="3"/>
  <c r="AB25" i="1"/>
  <c r="AB22" i="1"/>
  <c r="AB28" i="1"/>
  <c r="AB37" i="1"/>
  <c r="AB46" i="1"/>
  <c r="AB71" i="1"/>
  <c r="U24" i="3"/>
  <c r="R70" i="3"/>
  <c r="Q16" i="3"/>
  <c r="AB72" i="1"/>
  <c r="AB11" i="1"/>
  <c r="AB38" i="1"/>
  <c r="AB44" i="1"/>
  <c r="AB58" i="1"/>
  <c r="U16" i="3"/>
  <c r="U64" i="3"/>
  <c r="U18" i="3"/>
  <c r="AB62" i="1"/>
  <c r="AB39" i="1"/>
  <c r="T10" i="1"/>
  <c r="R57" i="3"/>
  <c r="T30" i="3"/>
  <c r="AB21" i="1"/>
  <c r="AB36" i="1"/>
  <c r="T36" i="3"/>
  <c r="U60" i="3"/>
  <c r="Q33" i="3"/>
  <c r="AB66" i="1"/>
  <c r="AB63" i="1"/>
  <c r="AB55" i="1"/>
  <c r="AB41" i="1"/>
  <c r="AB54" i="1"/>
  <c r="AB31" i="1"/>
  <c r="AB23" i="1"/>
  <c r="AB15" i="1"/>
  <c r="AB43" i="1"/>
  <c r="AB12" i="1"/>
  <c r="AA10" i="1"/>
  <c r="AB42" i="1"/>
  <c r="AB52" i="1"/>
  <c r="AB67" i="1"/>
  <c r="AB60" i="1"/>
  <c r="AB34" i="1"/>
  <c r="AB49" i="1"/>
  <c r="AB50" i="1"/>
  <c r="AB48" i="1"/>
  <c r="Z10" i="1"/>
  <c r="X10" i="1"/>
  <c r="V10" i="1"/>
  <c r="Q98" i="3"/>
  <c r="AB64" i="1"/>
  <c r="AB65" i="1"/>
  <c r="AB14" i="1"/>
  <c r="AB56" i="1"/>
  <c r="AB69" i="1"/>
  <c r="R30" i="3"/>
  <c r="AB32" i="1"/>
  <c r="AB47" i="1"/>
  <c r="AB51" i="1"/>
  <c r="AB33" i="1"/>
  <c r="AB24" i="1"/>
  <c r="AB18" i="1"/>
  <c r="AB57" i="1"/>
  <c r="AB29" i="1"/>
  <c r="AB70" i="1"/>
  <c r="AB68" i="1"/>
  <c r="AB73" i="1"/>
  <c r="AB20" i="1"/>
  <c r="AB35" i="1"/>
  <c r="AB45" i="1"/>
  <c r="AB27" i="1"/>
  <c r="AB26" i="1"/>
  <c r="AB53" i="1"/>
  <c r="AB7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<sst xmlns="http://schemas.openxmlformats.org/spreadsheetml/2006/main" count="265" uniqueCount="200">
  <si>
    <t>KOÇTAŞ YAPI MARKETLERİ TİCARET ANONİM ŞİRKETİ</t>
  </si>
  <si>
    <t>Masraf Merkezi</t>
  </si>
  <si>
    <t>Dönem</t>
  </si>
  <si>
    <t xml:space="preserve">PROFIT &amp; LOSS STATEMENT </t>
  </si>
  <si>
    <t>(Koçtaş Total )</t>
  </si>
  <si>
    <t/>
  </si>
  <si>
    <t>Fiili Senaryo Seçiniz:</t>
  </si>
  <si>
    <t>Bütçe Versiyonu Seçiniz:</t>
  </si>
  <si>
    <t>MONTHLY</t>
  </si>
  <si>
    <t>YTD</t>
  </si>
  <si>
    <t>Actual</t>
  </si>
  <si>
    <t>Sales %</t>
  </si>
  <si>
    <t>Var. Actual</t>
  </si>
  <si>
    <t>LY</t>
  </si>
  <si>
    <t>Product discounts given</t>
  </si>
  <si>
    <t>Buying margin</t>
  </si>
  <si>
    <t>Stock transfer cost</t>
  </si>
  <si>
    <t>Supplier rebates</t>
  </si>
  <si>
    <t>Delivery</t>
  </si>
  <si>
    <t>Shrinkage</t>
  </si>
  <si>
    <t>Distribution costs</t>
  </si>
  <si>
    <t>Other margin</t>
  </si>
  <si>
    <t>Net margin</t>
  </si>
  <si>
    <t>Store costs</t>
  </si>
  <si>
    <t>- staff (Payroll)</t>
  </si>
  <si>
    <t>- staff (exc. Payroll)</t>
  </si>
  <si>
    <t>- term. benefit provision</t>
  </si>
  <si>
    <t>- bonus</t>
  </si>
  <si>
    <t>- rent</t>
  </si>
  <si>
    <t>- operating leases</t>
  </si>
  <si>
    <t>- repairs and maintenance</t>
  </si>
  <si>
    <t>- IT maintenance</t>
  </si>
  <si>
    <t>- retail asset depreciation</t>
  </si>
  <si>
    <t>- retail asset profit/(loss) on sales</t>
  </si>
  <si>
    <t>- credit card charges</t>
  </si>
  <si>
    <t>- utilities</t>
  </si>
  <si>
    <t>- printing and stationery</t>
  </si>
  <si>
    <t>- communications</t>
  </si>
  <si>
    <t>- travel</t>
  </si>
  <si>
    <t>- cleaning</t>
  </si>
  <si>
    <t>- security</t>
  </si>
  <si>
    <t>- insurance exp.</t>
  </si>
  <si>
    <t>- external services</t>
  </si>
  <si>
    <t>- call center expenses</t>
  </si>
  <si>
    <t>- rental car expenses</t>
  </si>
  <si>
    <t>- packaging expenses</t>
  </si>
  <si>
    <t>- advertisement, environment taxes and fees</t>
  </si>
  <si>
    <t>- management and consultancy expenses</t>
  </si>
  <si>
    <t>- Tax, Duty and Fees</t>
  </si>
  <si>
    <t>- Guarantee Expenses</t>
  </si>
  <si>
    <t>- Used material from stock</t>
  </si>
  <si>
    <t>- other costs</t>
  </si>
  <si>
    <t>- porterage expenses</t>
  </si>
  <si>
    <t>- external services (forklift)</t>
  </si>
  <si>
    <t>Marketing costs</t>
  </si>
  <si>
    <t>Total costs</t>
  </si>
  <si>
    <t>Operations contribution</t>
  </si>
  <si>
    <t>Central costs</t>
  </si>
  <si>
    <t>IT costs</t>
  </si>
  <si>
    <t>Regional costs</t>
  </si>
  <si>
    <t>R&amp;D costs</t>
  </si>
  <si>
    <t>Retail Operating Profit - Before Pre-openning</t>
  </si>
  <si>
    <t>Net pre-opening costs</t>
  </si>
  <si>
    <t>Licence fees</t>
  </si>
  <si>
    <t>RETAIL OPERATING PROFIT</t>
  </si>
  <si>
    <t>Rent received external</t>
  </si>
  <si>
    <t>Other operations income</t>
  </si>
  <si>
    <t>TOTAL OPERATING PROFIT</t>
  </si>
  <si>
    <t>External interest received</t>
  </si>
  <si>
    <t>Short&amp;Long term interest paid</t>
  </si>
  <si>
    <t>Given Exchange Rate Difference</t>
  </si>
  <si>
    <t>Interest element of finance leases</t>
  </si>
  <si>
    <t>Other Financial Expense</t>
  </si>
  <si>
    <t>Net interest</t>
  </si>
  <si>
    <t>PROFIT BEFORE TAXATION</t>
  </si>
  <si>
    <t>Tax</t>
  </si>
  <si>
    <t>PROFIT AFTER TAXATION</t>
  </si>
  <si>
    <t>EBITDA</t>
  </si>
  <si>
    <t>tm1:Period</t>
  </si>
  <si>
    <t>tm1:PL</t>
  </si>
  <si>
    <t>tm1:PL Fiili</t>
  </si>
  <si>
    <t>tm1:Sistem</t>
  </si>
  <si>
    <t>Forecast Versiyonu Seçiniz:</t>
  </si>
  <si>
    <t xml:space="preserve">Dönem </t>
  </si>
  <si>
    <t>Fiili Senaryo</t>
  </si>
  <si>
    <t xml:space="preserve">Bütçe Versiyonu </t>
  </si>
  <si>
    <t>Bütçe Versiyonu</t>
  </si>
  <si>
    <t>Actual vs LY (%)</t>
  </si>
  <si>
    <t>Staff</t>
  </si>
  <si>
    <t>Transportation for Personnel</t>
  </si>
  <si>
    <t>Food Expenses for Personnel</t>
  </si>
  <si>
    <t>Employee Equipment Expenses</t>
  </si>
  <si>
    <t>Termination &amp; Notification Payment</t>
  </si>
  <si>
    <t>Children, Wedding &amp; Military Service Expenses</t>
  </si>
  <si>
    <t>Medical Aids for Personnel</t>
  </si>
  <si>
    <t>Other Social Expenses</t>
  </si>
  <si>
    <t>Training Expenses</t>
  </si>
  <si>
    <t>Bonus</t>
  </si>
  <si>
    <t>Rental Expenses</t>
  </si>
  <si>
    <t>Leasing Expenses</t>
  </si>
  <si>
    <t>Cleaning</t>
  </si>
  <si>
    <t>Cleaning Service</t>
  </si>
  <si>
    <t>Cleaning Supplies</t>
  </si>
  <si>
    <t>Security</t>
  </si>
  <si>
    <t>Travel</t>
  </si>
  <si>
    <t>International Traveling Expenses</t>
  </si>
  <si>
    <t>Route Expenses in City</t>
  </si>
  <si>
    <t>Domestic Traveling Expenses</t>
  </si>
  <si>
    <t>Utilities</t>
  </si>
  <si>
    <t>Electricity</t>
  </si>
  <si>
    <t>Water</t>
  </si>
  <si>
    <t>Fuel - Oil</t>
  </si>
  <si>
    <t>Gas</t>
  </si>
  <si>
    <t>Communications</t>
  </si>
  <si>
    <t>Cargo</t>
  </si>
  <si>
    <t>Telephone</t>
  </si>
  <si>
    <t>Other</t>
  </si>
  <si>
    <t>Printing and stationery</t>
  </si>
  <si>
    <t>Stationary</t>
  </si>
  <si>
    <t>Stamped Documents</t>
  </si>
  <si>
    <t>Label ( POS )</t>
  </si>
  <si>
    <t>PC Consuming Equipment</t>
  </si>
  <si>
    <t>Maintenance</t>
  </si>
  <si>
    <t>IT Maintenance (Koç Net &amp; Etc.)</t>
  </si>
  <si>
    <t>Depreciation</t>
  </si>
  <si>
    <t>Vehicle Depreciations</t>
  </si>
  <si>
    <t>Fix Assets Depreciations</t>
  </si>
  <si>
    <t>Rights  Amortization</t>
  </si>
  <si>
    <t>Leasehold  Depreciations</t>
  </si>
  <si>
    <t>R&amp;D Depreciations</t>
  </si>
  <si>
    <t>General Expenses</t>
  </si>
  <si>
    <t>Insurance Exp.</t>
  </si>
  <si>
    <t>IT Application Hosting</t>
  </si>
  <si>
    <t>Porterage Expenses</t>
  </si>
  <si>
    <t>Transportation  Expenses</t>
  </si>
  <si>
    <t>External Services</t>
  </si>
  <si>
    <t>External Services (Forklift)</t>
  </si>
  <si>
    <t>Food Expenses (Outside )</t>
  </si>
  <si>
    <t>Small Fixed Assets</t>
  </si>
  <si>
    <t>Publishing Expenses</t>
  </si>
  <si>
    <t>Advertising Expenses</t>
  </si>
  <si>
    <t>Subscription Expenses</t>
  </si>
  <si>
    <t>Donation Expenses</t>
  </si>
  <si>
    <t>Representation Charges</t>
  </si>
  <si>
    <t>Lawyer Expenses</t>
  </si>
  <si>
    <t>SAP Consultancy</t>
  </si>
  <si>
    <t>Auditing  Expenses</t>
  </si>
  <si>
    <t>Tax, Duty and Fees</t>
  </si>
  <si>
    <t>General Assembly Expenses</t>
  </si>
  <si>
    <t>Gas - Oil</t>
  </si>
  <si>
    <t>Maintenance (Cars)</t>
  </si>
  <si>
    <t>Parking Etc.</t>
  </si>
  <si>
    <t>Other Expenses (Tax &amp; Insurance  )</t>
  </si>
  <si>
    <t>Other General Expenses</t>
  </si>
  <si>
    <t>Press &amp; Translation  Expenses</t>
  </si>
  <si>
    <t>Estate Taxes</t>
  </si>
  <si>
    <t>Stamp Taxes</t>
  </si>
  <si>
    <t>Vehicles Taxes</t>
  </si>
  <si>
    <t>Other Taxes</t>
  </si>
  <si>
    <t>Banner, Panel and Placard Expenses</t>
  </si>
  <si>
    <t>Customer Bags Expenses</t>
  </si>
  <si>
    <t>Customer Transportation Services</t>
  </si>
  <si>
    <t>Other Sales Expenses</t>
  </si>
  <si>
    <t>Clearance Expenses</t>
  </si>
  <si>
    <t>Guarantee Expenses</t>
  </si>
  <si>
    <t>Marketing</t>
  </si>
  <si>
    <t>TV &amp; Radio Expenses</t>
  </si>
  <si>
    <t>Newspaper &amp; Magazine Expenses</t>
  </si>
  <si>
    <t>Insert Expenses</t>
  </si>
  <si>
    <t>Other Advertisement Expenses</t>
  </si>
  <si>
    <t>Sales Transportation Expenses</t>
  </si>
  <si>
    <t>Bank Interest Expenses</t>
  </si>
  <si>
    <t>Given Exchange Rate Differences</t>
  </si>
  <si>
    <t>Over Due Interest Expenses</t>
  </si>
  <si>
    <t>Other Financial Expenses</t>
  </si>
  <si>
    <t>Credit Card Commissions</t>
  </si>
  <si>
    <t>tm1:Fiili</t>
  </si>
  <si>
    <t>tm1:Genel Giderler</t>
  </si>
  <si>
    <t xml:space="preserve">Forecast Versiyonu </t>
  </si>
  <si>
    <t>Forecast Versiyonu</t>
  </si>
  <si>
    <t>COST</t>
  </si>
  <si>
    <t>Salary</t>
  </si>
  <si>
    <t>Salary (1/3)</t>
  </si>
  <si>
    <t>Vacation Fees</t>
  </si>
  <si>
    <t>Holiday Fees</t>
  </si>
  <si>
    <t>Heating Aids</t>
  </si>
  <si>
    <t>Education Aids</t>
  </si>
  <si>
    <t>Children Aids</t>
  </si>
  <si>
    <t>SSK (Social Insurance)</t>
  </si>
  <si>
    <t>Funds (Koç Holding Retirement Fund)</t>
  </si>
  <si>
    <t>Unemployment Insurance</t>
  </si>
  <si>
    <t>Cash İndemity</t>
  </si>
  <si>
    <t>Board Members Fees</t>
  </si>
  <si>
    <t>GROSS SALES</t>
  </si>
  <si>
    <t>NET SALES</t>
  </si>
  <si>
    <t>Actual vs Budget</t>
  </si>
  <si>
    <t>Actual vs Forecast</t>
  </si>
  <si>
    <t>Actual vs Budget (%)</t>
  </si>
  <si>
    <t>Actual vs Forecast (%)</t>
  </si>
  <si>
    <t>Dönem Seçiniz: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</si>
</sst>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5">
    <numFmt numFmtId="41" formatCode="_(* #,##0_);_(* \(#,##0\);_(* &quot;-&quot;_);_(@_)"/>
    <numFmt numFmtId="43" formatCode="_(* #,##0.00_);_(* \(#,##0.00\);_(* &quot;-&quot;??_);_(@_)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-* #,##0.00\ _T_L_-;\-* #,##0.00\ _T_L_-;_-* &quot;-&quot;??\ _T_L_-;_-@_-"/>
    <numFmt numFmtId="167" formatCode="_-* #,##0\ &quot;₺&quot;_-;\-* #,##0\ &quot;₺&quot;_-;_-* &quot;-&quot;\ &quot;₺&quot;_-;_-@_-"/>
    <numFmt numFmtId="168" formatCode="_-* #,##0\ _₺_-;\-* #,##0\ _₺_-;_-* &quot;-&quot;\ _₺_-;_-@_-"/>
    <numFmt numFmtId="169" formatCode="_-* #,##0.00\ &quot;₺&quot;_-;\-* #,##0.00\ &quot;₺&quot;_-;_-* &quot;-&quot;??\ &quot;₺&quot;_-;_-@_-"/>
    <numFmt numFmtId="170" formatCode="_-* #,##0.00\ _₺_-;\-* #,##0.00\ _₺_-;_-* &quot;-&quot;??\ _₺_-;_-@_-"/>
    <numFmt numFmtId="171" formatCode="#,##0\ &quot;TL&quot;;\-#,##0\ &quot;TL&quot;"/>
    <numFmt numFmtId="172" formatCode="#,##0\ &quot;TL&quot;;[Red]\-#,##0\ &quot;TL&quot;"/>
    <numFmt numFmtId="173" formatCode="#,##0.00\ &quot;TL&quot;;\-#,##0.00\ &quot;TL&quot;"/>
    <numFmt numFmtId="174" formatCode="#,##0.00\ &quot;TL&quot;;[Red]\-#,##0.00\ &quot;TL&quot;"/>
    <numFmt numFmtId="175" formatCode="_-* #,##0\ &quot;TL&quot;_-;\-* #,##0\ &quot;TL&quot;_-;_-* &quot;-&quot;\ &quot;TL&quot;_-;_-@_-"/>
    <numFmt numFmtId="176" formatCode="_-* #,##0\ _T_L_-;\-* #,##0\ _T_L_-;_-* &quot;-&quot;\ _T_L_-;_-@_-"/>
    <numFmt numFmtId="177" formatCode="_-* #,##0.00\ &quot;TL&quot;_-;\-* #,##0.00\ &quot;TL&quot;_-;_-* &quot;-&quot;??\ &quot;TL&quot;_-;_-@_-"/>
    <numFmt numFmtId="178" formatCode="#,##0.0\ ;\(#,##0.0\)"/>
    <numFmt numFmtId="179" formatCode="0.00_)"/>
    <numFmt numFmtId="180" formatCode="#,##0&quot;₺&quot;_);[Red]\(#,##0&quot;₺&quot;\)"/>
    <numFmt numFmtId="181" formatCode="###0_);[Red]\(###0\)"/>
    <numFmt numFmtId="182" formatCode="#,##0.0_);\(#,##0.0\)"/>
    <numFmt numFmtId="183" formatCode="#,##0.0000000_);\(#,##0.0000000\)"/>
    <numFmt numFmtId="184" formatCode="#,##0.000000000_);\(#,##0.000000000\)"/>
    <numFmt numFmtId="185" formatCode="\(#\)"/>
    <numFmt numFmtId="186" formatCode="_-* #,##0.0\ _T_L_-;_-* #,##0.0\ _T_L\-;_-* &quot;-&quot;??\ _T_L_-;_-@_-"/>
    <numFmt numFmtId="187" formatCode="_-* #,##0\ _T_L_-;_-* #,##0\ _T_L\-;_-* &quot;-&quot;??\ _T_L_-;_-@_-"/>
    <numFmt numFmtId="188" formatCode="#,##0.00\ \ ;"/>
    <numFmt numFmtId="189" formatCode="#,##0.\9\5\ \ ;"/>
    <numFmt numFmtId="190" formatCode="#,##0.\9\9\ \ ;"/>
    <numFmt numFmtId="191" formatCode="###0.00000000_);[Red]\(###0.00000000\)"/>
    <numFmt numFmtId="192" formatCode="###0.0000000_);[Red]\(###0.0000000\)"/>
    <numFmt numFmtId="193" formatCode="_ * #,##0_ ;_ * \-#,##0_ ;_ * &quot;-&quot;_ ;_ @_ "/>
    <numFmt numFmtId="194" formatCode="#,##0.0;[Red]\-#,##0.0"/>
    <numFmt numFmtId="195" formatCode="0.000_)"/>
    <numFmt numFmtId="196" formatCode="* \(#,##0\);* #,##0_);&quot;-&quot;??_);@"/>
    <numFmt numFmtId="197" formatCode="* \(#,##0.00\);* #,##0.00_);&quot;-&quot;??_);@"/>
    <numFmt numFmtId="198" formatCode="_ * #,##0_)\ &quot;TL&quot;_ ;_ * \(#,##0\)\ &quot;TL&quot;_ ;_ * &quot;-&quot;??_)\ &quot;TL&quot;_ ;_ @_ "/>
    <numFmt numFmtId="199" formatCode="_ * #,##0_)\ &quot;MTL&quot;_ ;_ * \(#,##0\)\ &quot;MTL&quot;_ ;_ * &quot;-&quot;??_)\ &quot;MTL&quot;_ ;_ @_ "/>
    <numFmt numFmtId="200" formatCode="_ * #,##0_)\ \T&quot;TL&quot;_ ;_ * \(#,##0\)\ \T&quot;TL&quot;_ ;_ * &quot;-&quot;??_)\ \T&quot;TL&quot;_ ;_ @_ "/>
    <numFmt numFmtId="201" formatCode="\$#,##0\ ;\(\$#,##0\)"/>
    <numFmt numFmtId="202" formatCode="########.00"/>
    <numFmt numFmtId="203" formatCode="* #,##0_);* \(#,##0\);&quot;-&quot;??_);@"/>
    <numFmt numFmtId="204" formatCode="* \(#,##0.0\);* #,##0.0_);&quot;-&quot;??_);@"/>
    <numFmt numFmtId="205" formatCode="_-* #,##0.00\ [$€-1]_-;\-* #,##0.00\ [$€-1]_-;_-* &quot;-&quot;??\ [$€-1]_-"/>
    <numFmt numFmtId="206" formatCode="&quot; CALL FOR DELIVERY APPT: (909) 428-8600               &quot;"/>
    <numFmt numFmtId="207" formatCode="&quot;1-56884-&quot;000\-0"/>
    <numFmt numFmtId="208" formatCode="&quot;1-878058-&quot;00\-0"/>
    <numFmt numFmtId="209" formatCode="m/d"/>
    <numFmt numFmtId="210" formatCode="mm/dd"/>
    <numFmt numFmtId="211" formatCode="mm/yy"/>
    <numFmt numFmtId="212" formatCode="mmm\ \'yy"/>
    <numFmt numFmtId="213" formatCode="&quot;0-87779-&quot;000\-0"/>
    <numFmt numFmtId="214" formatCode="#,##0;[Red]\(#,##0\)"/>
    <numFmt numFmtId="215" formatCode="&quot;See Note &quot;\ #"/>
    <numFmt numFmtId="216" formatCode="&quot;0-07-88&quot;0000\-0"/>
    <numFmt numFmtId="217" formatCode="0_)%;\(0\)%"/>
    <numFmt numFmtId="218" formatCode="\$\ #,##0"/>
    <numFmt numFmtId="219" formatCode="&quot; CALL FOR DELIVERY APPT: (203) 928-0847                &quot;"/>
    <numFmt numFmtId="220" formatCode="General_)"/>
    <numFmt numFmtId="221" formatCode="#,##0;\(#,##0\)"/>
    <numFmt numFmtId="222" formatCode="#,##0.00\ &quot;F&quot;;[Red]\-#,##0.00\ &quot;F&quot;"/>
    <numFmt numFmtId="223" formatCode="&quot;L.&quot;\ #,##0;[Red]\-&quot;L.&quot;\ #,##0"/>
    <numFmt numFmtId="224" formatCode="_-&quot;TL&quot;* #,##0.00_-;\-&quot;TL&quot;* #,##0.00_-;_-&quot;TL&quot;* &quot;-&quot;??_-;_-@_-"/>
    <numFmt numFmtId="225" formatCode="_-&quot;TL&quot;* #,##0_-;\-&quot;TL&quot;* #,##0_-;_-&quot;TL&quot;* &quot;-&quot;_-;_-@_-"/>
    <numFmt numFmtId="226" formatCode=";;;@"/>
  </numFmts>
  <fonts count="202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10"/>
      <name val="Tahoma"/>
      <family val="2"/>
      <charset val="162"/>
    </font>
    <font>
      <b/>
      <sz val="9"/>
      <name val="Arial"/>
      <family val="2"/>
      <charset val="162"/>
    </font>
    <font>
      <b/>
      <sz val="10"/>
      <name val="Arial"/>
      <family val="2"/>
    </font>
    <font>
      <b/>
      <sz val="10"/>
      <name val="Arial"/>
      <family val="2"/>
      <charset val="162"/>
    </font>
    <font>
      <b/>
      <sz val="12"/>
      <name val="Arial"/>
      <family val="2"/>
    </font>
    <font>
      <sz val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10"/>
      <color indexed="8"/>
      <name val="Tahoma"/>
      <family val="2"/>
      <charset val="162"/>
    </font>
    <font>
      <sz val="10"/>
      <color indexed="8"/>
      <name val="Tahoma"/>
      <family val="2"/>
      <charset val="162"/>
    </font>
    <font>
      <sz val="10"/>
      <name val="Helv"/>
    </font>
    <font>
      <sz val="10"/>
      <name val="MS Serif"/>
      <family val="1"/>
      <charset val="162"/>
    </font>
    <font>
      <sz val="10"/>
      <color indexed="8"/>
      <name val="Arial"/>
      <family val="2"/>
    </font>
    <font>
      <sz val="10"/>
      <color indexed="16"/>
      <name val="MS Serif"/>
      <family val="1"/>
      <charset val="162"/>
    </font>
    <font>
      <sz val="8"/>
      <name val="Arial"/>
      <family val="2"/>
    </font>
    <font>
      <sz val="10"/>
      <name val="Times New Roman"/>
      <family val="1"/>
    </font>
    <font>
      <sz val="10"/>
      <name val="Geneva"/>
    </font>
    <font>
      <b/>
      <i/>
      <sz val="16"/>
      <name val="Helv"/>
    </font>
    <font>
      <b/>
      <sz val="8"/>
      <color indexed="8"/>
      <name val="Helv"/>
    </font>
    <font>
      <b/>
      <sz val="10"/>
      <color indexed="9"/>
      <name val="Tahoma"/>
      <family val="2"/>
      <charset val="162"/>
    </font>
    <font>
      <sz val="10"/>
      <color indexed="10"/>
      <name val="Tahoma"/>
      <family val="2"/>
      <charset val="162"/>
    </font>
    <font>
      <sz val="10"/>
      <color indexed="9"/>
      <name val="Tahoma"/>
      <family val="2"/>
      <charset val="162"/>
    </font>
    <font>
      <sz val="10"/>
      <color indexed="20"/>
      <name val="Tahoma"/>
      <family val="2"/>
      <charset val="162"/>
    </font>
    <font>
      <b/>
      <sz val="10"/>
      <color indexed="52"/>
      <name val="Tahoma"/>
      <family val="2"/>
      <charset val="162"/>
    </font>
    <font>
      <i/>
      <sz val="10"/>
      <color indexed="23"/>
      <name val="Tahoma"/>
      <family val="2"/>
      <charset val="162"/>
    </font>
    <font>
      <sz val="10"/>
      <color indexed="17"/>
      <name val="Tahoma"/>
      <family val="2"/>
      <charset val="162"/>
    </font>
    <font>
      <b/>
      <sz val="15"/>
      <color indexed="56"/>
      <name val="Tahoma"/>
      <family val="2"/>
      <charset val="162"/>
    </font>
    <font>
      <b/>
      <sz val="13"/>
      <color indexed="56"/>
      <name val="Tahoma"/>
      <family val="2"/>
      <charset val="162"/>
    </font>
    <font>
      <b/>
      <sz val="11"/>
      <color indexed="56"/>
      <name val="Tahoma"/>
      <family val="2"/>
      <charset val="162"/>
    </font>
    <font>
      <sz val="10"/>
      <color indexed="62"/>
      <name val="Tahoma"/>
      <family val="2"/>
      <charset val="162"/>
    </font>
    <font>
      <sz val="10"/>
      <color indexed="52"/>
      <name val="Tahoma"/>
      <family val="2"/>
      <charset val="162"/>
    </font>
    <font>
      <sz val="10"/>
      <color indexed="60"/>
      <name val="Tahoma"/>
      <family val="2"/>
      <charset val="162"/>
    </font>
    <font>
      <b/>
      <sz val="10"/>
      <color indexed="63"/>
      <name val="Tahoma"/>
      <family val="2"/>
      <charset val="162"/>
    </font>
    <font>
      <b/>
      <sz val="18"/>
      <color indexed="56"/>
      <name val="Cambria"/>
      <family val="2"/>
      <charset val="162"/>
    </font>
    <font>
      <sz val="12"/>
      <name val="Times New Roman Tur"/>
      <charset val="162"/>
    </font>
    <font>
      <sz val="10"/>
      <name val="Helv"/>
      <charset val="162"/>
    </font>
    <font>
      <sz val="10"/>
      <name val="Arial Tur"/>
      <charset val="162"/>
    </font>
    <font>
      <sz val="10"/>
      <name val="Times New Roman Tur"/>
    </font>
    <font>
      <sz val="8"/>
      <name val="Arial Tur"/>
      <charset val="162"/>
    </font>
    <font>
      <sz val="12"/>
      <name val="Times New Roman"/>
      <family val="1"/>
      <charset val="162"/>
    </font>
    <font>
      <sz val="12"/>
      <name val="Arial"/>
      <family val="2"/>
    </font>
    <font>
      <sz val="12"/>
      <name val="Arial"/>
      <family val="2"/>
      <charset val="162"/>
    </font>
    <font>
      <sz val="12"/>
      <name val="·s²Ó©úÅé"/>
      <charset val="136"/>
    </font>
    <font>
      <sz val="7.5"/>
      <name val="Geneva"/>
    </font>
    <font>
      <sz val="12"/>
      <color indexed="24"/>
      <name val="Arial"/>
      <family val="2"/>
      <charset val="162"/>
    </font>
    <font>
      <b/>
      <sz val="11"/>
      <name val="Arial"/>
      <family val="2"/>
      <charset val="162"/>
    </font>
    <font>
      <b/>
      <sz val="18"/>
      <color indexed="12"/>
      <name val="Arial"/>
      <family val="2"/>
    </font>
    <font>
      <sz val="8"/>
      <name val="Times New Roman"/>
      <family val="1"/>
      <charset val="162"/>
    </font>
    <font>
      <b/>
      <sz val="14"/>
      <name val="Arial (WT)"/>
      <charset val="162"/>
    </font>
    <font>
      <b/>
      <sz val="19"/>
      <color indexed="9"/>
      <name val="Arial"/>
      <family val="2"/>
      <charset val="162"/>
    </font>
    <font>
      <sz val="14"/>
      <name val="TimesNewRomanPS"/>
    </font>
    <font>
      <sz val="9"/>
      <name val="Helv"/>
    </font>
    <font>
      <b/>
      <sz val="9"/>
      <color indexed="12"/>
      <name val="Helv"/>
    </font>
    <font>
      <b/>
      <sz val="8"/>
      <name val="Arial"/>
      <family val="2"/>
      <charset val="162"/>
    </font>
    <font>
      <sz val="11"/>
      <name val="Tms Rmn"/>
    </font>
    <font>
      <sz val="16"/>
      <color indexed="24"/>
      <name val="Arial"/>
      <family val="2"/>
      <charset val="162"/>
    </font>
    <font>
      <b/>
      <sz val="16"/>
      <name val="Times New Roman"/>
      <family val="1"/>
    </font>
    <font>
      <sz val="10"/>
      <name val="Courier"/>
      <family val="1"/>
      <charset val="162"/>
    </font>
    <font>
      <b/>
      <sz val="9"/>
      <color indexed="10"/>
      <name val="Arial MT"/>
    </font>
    <font>
      <i/>
      <sz val="9"/>
      <color indexed="12"/>
      <name val="Arial"/>
      <family val="2"/>
    </font>
    <font>
      <b/>
      <sz val="10"/>
      <color indexed="60"/>
      <name val="Arial"/>
      <family val="2"/>
      <charset val="162"/>
    </font>
    <font>
      <sz val="10"/>
      <name val="MS Sans Serif"/>
      <family val="2"/>
      <charset val="162"/>
    </font>
    <font>
      <sz val="10"/>
      <name val="Arial CE"/>
      <charset val="238"/>
    </font>
    <font>
      <i/>
      <sz val="8"/>
      <name val="Arial Narrow"/>
      <family val="2"/>
      <charset val="162"/>
    </font>
    <font>
      <b/>
      <sz val="8"/>
      <name val="Helv"/>
    </font>
    <font>
      <i/>
      <sz val="10"/>
      <name val="Times New Roman"/>
      <family val="1"/>
      <charset val="162"/>
    </font>
    <font>
      <sz val="9"/>
      <name val="Arial"/>
      <family val="2"/>
      <charset val="162"/>
    </font>
    <font>
      <b/>
      <sz val="8"/>
      <name val="Times New Roman"/>
      <family val="1"/>
      <charset val="162"/>
    </font>
    <font>
      <b/>
      <sz val="10"/>
      <name val="Helv"/>
    </font>
    <font>
      <b/>
      <sz val="16"/>
      <name val="Arial"/>
      <family val="2"/>
      <charset val="162"/>
    </font>
    <font>
      <b/>
      <sz val="24"/>
      <color indexed="8"/>
      <name val="Times New Roman"/>
      <family val="1"/>
      <charset val="162"/>
    </font>
    <font>
      <sz val="10"/>
      <color indexed="13"/>
      <name val="Arial"/>
      <family val="2"/>
      <charset val="162"/>
    </font>
    <font>
      <b/>
      <sz val="14"/>
      <name val="Arial"/>
      <family val="2"/>
      <charset val="162"/>
    </font>
    <font>
      <b/>
      <sz val="10"/>
      <name val="Times New Roman"/>
      <family val="1"/>
      <charset val="162"/>
    </font>
    <font>
      <sz val="9.75"/>
      <name val="Arial"/>
      <family val="2"/>
      <charset val="162"/>
    </font>
    <font>
      <i/>
      <sz val="10"/>
      <name val="Arial"/>
      <family val="2"/>
      <charset val="162"/>
    </font>
    <font>
      <b/>
      <sz val="9.75"/>
      <name val="Arial"/>
      <family val="2"/>
      <charset val="162"/>
    </font>
    <font>
      <i/>
      <sz val="8"/>
      <color indexed="12"/>
      <name val="Arial"/>
      <family val="2"/>
    </font>
    <font>
      <b/>
      <sz val="10"/>
      <color indexed="18"/>
      <name val="Arial Tur"/>
      <family val="2"/>
      <charset val="162"/>
    </font>
    <font>
      <sz val="10"/>
      <color indexed="37"/>
      <name val="Arial"/>
      <family val="2"/>
      <charset val="162"/>
    </font>
    <font>
      <sz val="10"/>
      <color indexed="37"/>
      <name val="Arial Tur"/>
      <family val="2"/>
      <charset val="162"/>
    </font>
    <font>
      <b/>
      <sz val="10"/>
      <color indexed="32"/>
      <name val="Arial"/>
      <family val="2"/>
      <charset val="162"/>
    </font>
    <font>
      <b/>
      <sz val="10"/>
      <color indexed="12"/>
      <name val="Arial TUR"/>
      <family val="2"/>
      <charset val="162"/>
    </font>
    <font>
      <b/>
      <sz val="10"/>
      <color indexed="39"/>
      <name val="Arial"/>
      <family val="2"/>
      <charset val="162"/>
    </font>
    <font>
      <b/>
      <sz val="9"/>
      <color indexed="32"/>
      <name val="Arial Tur"/>
      <family val="2"/>
      <charset val="162"/>
    </font>
    <font>
      <sz val="10"/>
      <color indexed="10"/>
      <name val="Arial Tur"/>
      <family val="2"/>
      <charset val="162"/>
    </font>
    <font>
      <b/>
      <sz val="10"/>
      <color indexed="32"/>
      <name val="Arial Tur"/>
      <family val="2"/>
      <charset val="162"/>
    </font>
    <font>
      <b/>
      <sz val="12"/>
      <color indexed="32"/>
      <name val="Arial Tur"/>
      <family val="2"/>
      <charset val="162"/>
    </font>
    <font>
      <b/>
      <sz val="10"/>
      <color indexed="58"/>
      <name val="Arial"/>
      <family val="2"/>
      <charset val="162"/>
    </font>
    <font>
      <b/>
      <sz val="10"/>
      <color indexed="33"/>
      <name val="Arial Tur"/>
      <family val="2"/>
      <charset val="162"/>
    </font>
    <font>
      <b/>
      <sz val="10"/>
      <color indexed="10"/>
      <name val="Arial Tur"/>
      <family val="2"/>
      <charset val="162"/>
    </font>
    <font>
      <b/>
      <sz val="10"/>
      <color indexed="20"/>
      <name val="Arial"/>
      <family val="2"/>
      <charset val="162"/>
    </font>
    <font>
      <b/>
      <sz val="10"/>
      <color indexed="16"/>
      <name val="Arial"/>
      <family val="2"/>
      <charset val="162"/>
    </font>
    <font>
      <b/>
      <sz val="10"/>
      <color indexed="16"/>
      <name val="Arial Tur"/>
      <family val="2"/>
      <charset val="162"/>
    </font>
    <font>
      <b/>
      <sz val="10"/>
      <color indexed="18"/>
      <name val="Arial"/>
      <family val="2"/>
      <charset val="162"/>
    </font>
    <font>
      <u/>
      <sz val="10"/>
      <color indexed="28"/>
      <name val="Arial"/>
      <family val="2"/>
      <charset val="162"/>
    </font>
    <font>
      <sz val="9.75"/>
      <name val="Helv"/>
      <charset val="162"/>
    </font>
    <font>
      <u/>
      <sz val="10"/>
      <color indexed="18"/>
      <name val="Arial"/>
      <family val="2"/>
      <charset val="162"/>
    </font>
    <font>
      <sz val="24"/>
      <name val="Arial"/>
      <family val="2"/>
      <charset val="162"/>
    </font>
    <font>
      <b/>
      <sz val="32"/>
      <name val="Arial"/>
      <family val="2"/>
      <charset val="162"/>
    </font>
    <font>
      <sz val="7"/>
      <name val="Small Fonts"/>
      <family val="2"/>
      <charset val="162"/>
    </font>
    <font>
      <sz val="10"/>
      <name val="Times New Roman"/>
      <family val="1"/>
      <charset val="162"/>
    </font>
    <font>
      <sz val="10"/>
      <name val="Arial CE"/>
    </font>
    <font>
      <b/>
      <sz val="10"/>
      <color indexed="8"/>
      <name val="Arial"/>
      <family val="2"/>
      <charset val="162"/>
    </font>
    <font>
      <b/>
      <sz val="10"/>
      <name val="Arial Tur"/>
      <family val="2"/>
      <charset val="162"/>
    </font>
    <font>
      <sz val="11"/>
      <name val="‚l‚r –¾’©"/>
      <charset val="128"/>
    </font>
    <font>
      <i/>
      <sz val="9"/>
      <name val="Arial"/>
      <family val="2"/>
    </font>
    <font>
      <sz val="8"/>
      <name val="Helv"/>
      <charset val="162"/>
    </font>
    <font>
      <b/>
      <sz val="11"/>
      <name val="Arial"/>
      <family val="2"/>
    </font>
    <font>
      <sz val="10"/>
      <name val="Tms Rmn"/>
    </font>
    <font>
      <b/>
      <sz val="10"/>
      <name val="MS Sans Serif"/>
      <family val="2"/>
      <charset val="162"/>
    </font>
    <font>
      <sz val="8"/>
      <name val="Palatino"/>
      <family val="1"/>
    </font>
    <font>
      <b/>
      <sz val="9"/>
      <color indexed="10"/>
      <name val="Helv"/>
    </font>
    <font>
      <sz val="10"/>
      <name val="Courier New"/>
      <family val="3"/>
      <charset val="162"/>
    </font>
    <font>
      <b/>
      <sz val="11"/>
      <color indexed="16"/>
      <name val="Arial"/>
      <family val="2"/>
      <charset val="162"/>
    </font>
    <font>
      <b/>
      <u/>
      <sz val="11"/>
      <color indexed="32"/>
      <name val="Arial"/>
      <family val="2"/>
      <charset val="162"/>
    </font>
    <font>
      <sz val="10"/>
      <name val="Arial Narrow"/>
      <family val="2"/>
      <charset val="162"/>
    </font>
    <font>
      <b/>
      <sz val="26"/>
      <name val="Times New Roman"/>
      <family val="1"/>
    </font>
    <font>
      <b/>
      <sz val="10"/>
      <color indexed="10"/>
      <name val="Arial"/>
      <family val="2"/>
    </font>
    <font>
      <b/>
      <sz val="14"/>
      <name val="Times New Roman"/>
      <family val="1"/>
      <charset val="162"/>
    </font>
    <font>
      <sz val="10"/>
      <color indexed="42"/>
      <name val="Arial"/>
      <family val="2"/>
    </font>
    <font>
      <sz val="10"/>
      <color rgb="FF000000"/>
      <name val="Arial"/>
      <family val="2"/>
      <charset val="162"/>
    </font>
    <font>
      <b/>
      <sz val="10"/>
      <color rgb="FF000000"/>
      <name val="Tahoma"/>
      <family val="2"/>
      <charset val="162"/>
    </font>
    <font>
      <sz val="10"/>
      <color rgb="FF000000"/>
      <name val="Tahoma"/>
      <family val="2"/>
      <charset val="162"/>
    </font>
    <font>
      <sz val="10"/>
      <name val="Helv"/>
      <family val="2"/>
    </font>
    <font>
      <sz val="10"/>
      <color rgb="FF800000"/>
      <name val="MS Serif"/>
      <family val="1"/>
      <charset val="162"/>
    </font>
    <font>
      <sz val="10"/>
      <name val="Geneva"/>
      <family val="2"/>
    </font>
    <font>
      <b/>
      <i/>
      <sz val="16"/>
      <name val="Helv"/>
      <family val="2"/>
    </font>
    <font>
      <b/>
      <sz val="8"/>
      <color rgb="FF000000"/>
      <name val="Helv"/>
      <family val="2"/>
    </font>
    <font>
      <b/>
      <sz val="10"/>
      <color rgb="FFFFFFFF"/>
      <name val="Tahoma"/>
      <family val="2"/>
      <charset val="162"/>
    </font>
    <font>
      <sz val="10"/>
      <color rgb="FFFF0000"/>
      <name val="Tahoma"/>
      <family val="2"/>
      <charset val="162"/>
    </font>
    <font>
      <sz val="10"/>
      <color rgb="FFFFFFFF"/>
      <name val="Tahoma"/>
      <family val="2"/>
      <charset val="162"/>
    </font>
    <font>
      <sz val="10"/>
      <color rgb="FF800080"/>
      <name val="Tahoma"/>
      <family val="2"/>
      <charset val="162"/>
    </font>
    <font>
      <b/>
      <sz val="10"/>
      <color rgb="FFFF9900"/>
      <name val="Tahoma"/>
      <family val="2"/>
      <charset val="162"/>
    </font>
    <font>
      <i/>
      <sz val="10"/>
      <color rgb="FF808080"/>
      <name val="Tahoma"/>
      <family val="2"/>
      <charset val="162"/>
    </font>
    <font>
      <sz val="10"/>
      <color rgb="FF008000"/>
      <name val="Tahoma"/>
      <family val="2"/>
      <charset val="162"/>
    </font>
    <font>
      <b/>
      <sz val="15"/>
      <color rgb="FF003366"/>
      <name val="Tahoma"/>
      <family val="2"/>
      <charset val="162"/>
    </font>
    <font>
      <b/>
      <sz val="13"/>
      <color rgb="FF003366"/>
      <name val="Tahoma"/>
      <family val="2"/>
      <charset val="162"/>
    </font>
    <font>
      <b/>
      <sz val="11"/>
      <color rgb="FF003366"/>
      <name val="Tahoma"/>
      <family val="2"/>
      <charset val="162"/>
    </font>
    <font>
      <sz val="10"/>
      <color rgb="FF333399"/>
      <name val="Tahoma"/>
      <family val="2"/>
      <charset val="162"/>
    </font>
    <font>
      <sz val="10"/>
      <color rgb="FFFF9900"/>
      <name val="Tahoma"/>
      <family val="2"/>
      <charset val="162"/>
    </font>
    <font>
      <sz val="10"/>
      <color rgb="FF993300"/>
      <name val="Tahoma"/>
      <family val="2"/>
      <charset val="162"/>
    </font>
    <font>
      <b/>
      <sz val="10"/>
      <color rgb="FF333333"/>
      <name val="Tahoma"/>
      <family val="2"/>
      <charset val="162"/>
    </font>
    <font>
      <b/>
      <sz val="18"/>
      <color rgb="FF003366"/>
      <name val="Cambria"/>
      <family val="2"/>
      <charset val="162"/>
    </font>
    <font>
      <sz val="12"/>
      <name val="Times New Roman Tur"/>
      <family val="2"/>
      <charset val="162"/>
    </font>
    <font>
      <sz val="10"/>
      <name val="Arial Tur"/>
      <family val="2"/>
      <charset val="162"/>
    </font>
    <font>
      <sz val="10"/>
      <name val="Times New Roman Tur"/>
      <family val="2"/>
    </font>
    <font>
      <sz val="8"/>
      <name val="Arial Tur"/>
      <family val="2"/>
      <charset val="162"/>
    </font>
    <font>
      <sz val="7.5"/>
      <name val="Geneva"/>
      <family val="2"/>
    </font>
    <font>
      <sz val="12"/>
      <color rgb="FF9999FF"/>
      <name val="Arial"/>
      <family val="2"/>
      <charset val="162"/>
    </font>
    <font>
      <b/>
      <sz val="18"/>
      <color rgb="FF0000FF"/>
      <name val="Arial"/>
      <family val="2"/>
    </font>
    <font>
      <b/>
      <sz val="14"/>
      <name val="Arial (WT)"/>
      <family val="2"/>
      <charset val="162"/>
    </font>
    <font>
      <b/>
      <sz val="19"/>
      <color rgb="FFFFFFFF"/>
      <name val="Arial"/>
      <family val="2"/>
      <charset val="162"/>
    </font>
    <font>
      <sz val="14"/>
      <name val="TimesNewRomanPS"/>
      <family val="2"/>
    </font>
    <font>
      <sz val="9"/>
      <name val="Helv"/>
      <family val="2"/>
    </font>
    <font>
      <b/>
      <sz val="9"/>
      <color rgb="FF0000FF"/>
      <name val="Helv"/>
      <family val="2"/>
    </font>
    <font>
      <sz val="11"/>
      <name val="Tms Rmn"/>
      <family val="2"/>
    </font>
    <font>
      <sz val="16"/>
      <color rgb="FF9999FF"/>
      <name val="Arial"/>
      <family val="2"/>
      <charset val="162"/>
    </font>
    <font>
      <b/>
      <sz val="9"/>
      <color rgb="FFFF0000"/>
      <name val="Arial MT"/>
      <family val="2"/>
    </font>
    <font>
      <b/>
      <sz val="10"/>
      <color rgb="FF993300"/>
      <name val="Arial"/>
      <family val="2"/>
      <charset val="162"/>
    </font>
    <font>
      <b/>
      <sz val="8"/>
      <name val="Helv"/>
      <family val="2"/>
    </font>
    <font>
      <b/>
      <sz val="10"/>
      <name val="Helv"/>
      <family val="2"/>
    </font>
    <font>
      <b/>
      <sz val="24"/>
      <color rgb="FF000000"/>
      <name val="Times New Roman"/>
      <family val="1"/>
      <charset val="162"/>
    </font>
    <font>
      <sz val="10"/>
      <color rgb="FFFFFF00"/>
      <name val="Arial"/>
      <family val="2"/>
      <charset val="162"/>
    </font>
    <font>
      <i/>
      <sz val="8"/>
      <color rgb="FF0000FF"/>
      <name val="Arial"/>
      <family val="2"/>
    </font>
    <font>
      <b/>
      <sz val="10"/>
      <color rgb="FF000080"/>
      <name val="Arial Tur"/>
      <family val="2"/>
      <charset val="162"/>
    </font>
    <font>
      <sz val="10"/>
      <color rgb="FF800000"/>
      <name val="Arial"/>
      <family val="2"/>
      <charset val="162"/>
    </font>
    <font>
      <sz val="10"/>
      <color rgb="FF800000"/>
      <name val="Arial Tur"/>
      <family val="2"/>
      <charset val="162"/>
    </font>
    <font>
      <b/>
      <sz val="10"/>
      <color rgb="FF000080"/>
      <name val="Arial"/>
      <family val="2"/>
      <charset val="162"/>
    </font>
    <font>
      <b/>
      <sz val="10"/>
      <color rgb="FF0000FF"/>
      <name val="Arial TUR"/>
      <family val="2"/>
      <charset val="162"/>
    </font>
    <font>
      <b/>
      <sz val="10"/>
      <color rgb="FF0000FF"/>
      <name val="Arial"/>
      <family val="2"/>
      <charset val="162"/>
    </font>
    <font>
      <b/>
      <sz val="9"/>
      <color rgb="FF000080"/>
      <name val="Arial Tur"/>
      <family val="2"/>
      <charset val="162"/>
    </font>
    <font>
      <sz val="10"/>
      <color rgb="FFFF0000"/>
      <name val="Arial Tur"/>
      <family val="2"/>
      <charset val="162"/>
    </font>
    <font>
      <b/>
      <sz val="12"/>
      <color rgb="FF000080"/>
      <name val="Arial Tur"/>
      <family val="2"/>
      <charset val="162"/>
    </font>
    <font>
      <b/>
      <sz val="10"/>
      <color rgb="FF003300"/>
      <name val="Arial"/>
      <family val="2"/>
      <charset val="162"/>
    </font>
    <font>
      <b/>
      <sz val="10"/>
      <color rgb="FFFF00FF"/>
      <name val="Arial Tur"/>
      <family val="2"/>
      <charset val="162"/>
    </font>
    <font>
      <b/>
      <sz val="10"/>
      <color rgb="FFFF0000"/>
      <name val="Arial Tur"/>
      <family val="2"/>
      <charset val="162"/>
    </font>
    <font>
      <b/>
      <sz val="10"/>
      <color rgb="FF800080"/>
      <name val="Arial"/>
      <family val="2"/>
      <charset val="162"/>
    </font>
    <font>
      <b/>
      <sz val="10"/>
      <color rgb="FF800000"/>
      <name val="Arial"/>
      <family val="2"/>
      <charset val="162"/>
    </font>
    <font>
      <b/>
      <sz val="10"/>
      <color rgb="FF800000"/>
      <name val="Arial Tur"/>
      <family val="2"/>
      <charset val="162"/>
    </font>
    <font>
      <u/>
      <sz val="10"/>
      <color rgb="FF660066"/>
      <name val="Arial"/>
      <family val="2"/>
      <charset val="162"/>
    </font>
    <font>
      <u/>
      <sz val="10"/>
      <color rgb="FF000080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8"/>
      <name val="Helv"/>
      <family val="2"/>
      <charset val="162"/>
    </font>
    <font>
      <sz val="10"/>
      <name val="Tms Rmn"/>
      <family val="2"/>
    </font>
    <font>
      <b/>
      <sz val="9"/>
      <color rgb="FFFF0000"/>
      <name val="Helv"/>
      <family val="2"/>
    </font>
    <font>
      <b/>
      <sz val="11"/>
      <color rgb="FF800000"/>
      <name val="Arial"/>
      <family val="2"/>
      <charset val="162"/>
    </font>
    <font>
      <b/>
      <u/>
      <sz val="11"/>
      <color rgb="FF000080"/>
      <name val="Arial"/>
      <family val="2"/>
      <charset val="162"/>
    </font>
    <font>
      <b/>
      <sz val="10"/>
      <color rgb="FFFF0000"/>
      <name val="Arial"/>
      <family val="2"/>
    </font>
    <font>
      <sz val="10"/>
      <color rgb="FFCCFFCC"/>
      <name val="Arial"/>
      <family val="2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0"/>
      <color indexed="9"/>
      <name val="Arial"/>
      <family val="2"/>
      <charset val="162"/>
    </font>
    <font>
      <b/>
      <i/>
      <sz val="10"/>
      <name val="Arial"/>
      <family val="2"/>
      <charset val="162"/>
    </font>
    <font>
      <b/>
      <sz val="11"/>
      <color theme="1"/>
      <name val="Arial"/>
      <family val="2"/>
      <charset val="162"/>
    </font>
  </fonts>
  <fills count="7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26"/>
      </patternFill>
    </fill>
    <fill>
      <patternFill patternType="mediumGray">
        <bgColor indexed="2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33"/>
        <bgColor indexed="64"/>
      </patternFill>
    </fill>
    <fill>
      <patternFill patternType="lightGray"/>
    </fill>
    <fill>
      <patternFill patternType="solid">
        <fgColor indexed="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gray0625">
        <bgColor indexed="26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lightGray">
        <fgColor rgb="FFC0C0C0"/>
        <bgColor rgb="FFC0C0C0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mediumGray">
        <bgColor rgb="FFC0C0C0"/>
      </patternFill>
    </fill>
    <fill>
      <patternFill patternType="solid">
        <fgColor rgb="FF96969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gray06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gray0625">
        <bgColor rgb="FFFFFFCC"/>
      </patternFill>
    </fill>
    <fill>
      <patternFill patternType="mediumGray">
        <fgColor rgb="FFC0C0C0"/>
      </patternFill>
    </fill>
    <fill>
      <patternFill patternType="solid">
        <fgColor rgb="FF666699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ck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/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/>
      <bottom/>
      <diagonal/>
    </border>
    <border>
      <left style="thin">
        <color rgb="FF969696"/>
      </left>
      <right/>
      <top/>
      <bottom/>
      <diagonal/>
    </border>
    <border>
      <left style="thin">
        <color rgb="FFC0C0C0"/>
      </left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/>
      <bottom/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</borders>
  <cellStyleXfs count="1195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4" fillId="0" borderId="0"/>
    <xf numFmtId="166" fontId="5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0" fontId="4" fillId="0" borderId="0"/>
    <xf numFmtId="177" fontId="39" fillId="0" borderId="0" applyFont="0" applyFill="0" applyBorder="0" applyAlignment="0" applyProtection="0"/>
    <xf numFmtId="4" fontId="40" fillId="0" borderId="0" applyFont="0" applyFill="0" applyBorder="0" applyAlignment="0" applyProtection="0"/>
    <xf numFmtId="188" fontId="15" fillId="0" borderId="11" applyFill="0" applyBorder="0" applyProtection="0">
      <alignment horizontal="right"/>
      <protection locked="0"/>
    </xf>
    <xf numFmtId="189" fontId="15" fillId="0" borderId="11" applyFill="0" applyBorder="0" applyProtection="0">
      <alignment horizontal="right"/>
      <protection locked="0"/>
    </xf>
    <xf numFmtId="190" fontId="15" fillId="0" borderId="11" applyFill="0" applyBorder="0" applyProtection="0">
      <alignment horizontal="right"/>
      <protection locked="0"/>
    </xf>
    <xf numFmtId="0" fontId="5" fillId="0" borderId="0"/>
    <xf numFmtId="0" fontId="5" fillId="0" borderId="0" applyFont="0" applyFill="0" applyBorder="0" applyAlignment="0" applyProtection="0"/>
    <xf numFmtId="177" fontId="41" fillId="0" borderId="0" applyFont="0" applyFill="0" applyBorder="0" applyAlignment="0" applyProtection="0"/>
    <xf numFmtId="0" fontId="12" fillId="0" borderId="0">
      <alignment vertical="top"/>
    </xf>
    <xf numFmtId="0" fontId="42" fillId="0" borderId="0" applyFont="0" applyFill="0" applyBorder="0" applyAlignment="0" applyProtection="0"/>
    <xf numFmtId="0" fontId="43" fillId="0" borderId="0"/>
    <xf numFmtId="0" fontId="42" fillId="0" borderId="0" applyFont="0" applyFill="0" applyBorder="0" applyAlignment="0" applyProtection="0"/>
    <xf numFmtId="0" fontId="12" fillId="0" borderId="0">
      <alignment vertical="top"/>
    </xf>
    <xf numFmtId="0" fontId="43" fillId="0" borderId="0"/>
    <xf numFmtId="0" fontId="43" fillId="0" borderId="0"/>
    <xf numFmtId="0" fontId="42" fillId="0" borderId="0" applyFont="0" applyFill="0" applyBorder="0" applyAlignment="0" applyProtection="0"/>
    <xf numFmtId="0" fontId="40" fillId="0" borderId="0"/>
    <xf numFmtId="0" fontId="15" fillId="0" borderId="0"/>
    <xf numFmtId="0" fontId="12" fillId="0" borderId="0">
      <alignment vertical="top"/>
    </xf>
    <xf numFmtId="0" fontId="15" fillId="0" borderId="0"/>
    <xf numFmtId="9" fontId="5" fillId="2" borderId="0"/>
    <xf numFmtId="0" fontId="44" fillId="0" borderId="0"/>
    <xf numFmtId="17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5" fillId="0" borderId="0"/>
    <xf numFmtId="0" fontId="46" fillId="0" borderId="0"/>
    <xf numFmtId="0" fontId="46" fillId="0" borderId="0">
      <alignment horizontal="right"/>
    </xf>
    <xf numFmtId="3" fontId="5" fillId="0" borderId="0">
      <alignment horizontal="center"/>
    </xf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175" fontId="47" fillId="0" borderId="0" applyFont="0" applyFill="0" applyBorder="0" applyAlignment="0" applyProtection="0"/>
    <xf numFmtId="175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48" fillId="0" borderId="0" applyNumberFormat="0" applyFill="0" applyBorder="0"/>
    <xf numFmtId="3" fontId="49" fillId="0" borderId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50" fillId="0" borderId="0"/>
    <xf numFmtId="0" fontId="9" fillId="0" borderId="10" applyNumberFormat="0" applyFont="0" applyBorder="0" applyAlignment="0">
      <protection locked="0"/>
    </xf>
    <xf numFmtId="0" fontId="51" fillId="0" borderId="0">
      <alignment horizontal="left"/>
    </xf>
    <xf numFmtId="0" fontId="52" fillId="0" borderId="0">
      <alignment horizontal="center" wrapText="1"/>
      <protection locked="0"/>
    </xf>
    <xf numFmtId="0" fontId="53" fillId="0" borderId="0" applyFont="0" applyBorder="0" applyAlignment="0">
      <alignment horizontal="centerContinuous"/>
    </xf>
    <xf numFmtId="193" fontId="5" fillId="0" borderId="0" applyFont="0" applyFill="0" applyBorder="0">
      <alignment horizontal="left"/>
    </xf>
    <xf numFmtId="0" fontId="5" fillId="21" borderId="0"/>
    <xf numFmtId="0" fontId="27" fillId="4" borderId="0" applyNumberFormat="0" applyBorder="0" applyAlignment="0" applyProtection="0"/>
    <xf numFmtId="0" fontId="54" fillId="1" borderId="0">
      <alignment horizontal="centerContinuous" vertical="center"/>
    </xf>
    <xf numFmtId="182" fontId="55" fillId="22" borderId="1">
      <alignment horizontal="left" vertical="center"/>
    </xf>
    <xf numFmtId="0" fontId="56" fillId="0" borderId="12" applyNumberFormat="0" applyBorder="0" applyAlignment="0" applyProtection="0">
      <alignment horizontal="center" vertical="top"/>
      <protection locked="0"/>
    </xf>
    <xf numFmtId="0" fontId="57" fillId="23" borderId="12" applyNumberFormat="0" applyBorder="0" applyAlignment="0" applyProtection="0">
      <alignment horizontal="center" vertical="top"/>
      <protection locked="0"/>
    </xf>
    <xf numFmtId="38" fontId="5" fillId="24" borderId="10">
      <protection locked="0"/>
    </xf>
    <xf numFmtId="194" fontId="5" fillId="24" borderId="10">
      <protection locked="0"/>
    </xf>
    <xf numFmtId="49" fontId="5" fillId="24" borderId="10">
      <alignment horizontal="left"/>
      <protection locked="0"/>
    </xf>
    <xf numFmtId="38" fontId="5" fillId="0" borderId="10"/>
    <xf numFmtId="38" fontId="9" fillId="0" borderId="10"/>
    <xf numFmtId="194" fontId="5" fillId="0" borderId="10"/>
    <xf numFmtId="40" fontId="5" fillId="0" borderId="10"/>
    <xf numFmtId="0" fontId="9" fillId="0" borderId="10" applyNumberFormat="0">
      <alignment horizontal="center"/>
    </xf>
    <xf numFmtId="38" fontId="9" fillId="25" borderId="10" applyNumberFormat="0" applyFont="0" applyBorder="0" applyAlignment="0">
      <alignment horizontal="center"/>
    </xf>
    <xf numFmtId="0" fontId="5" fillId="0" borderId="10" applyNumberFormat="0"/>
    <xf numFmtId="0" fontId="9" fillId="0" borderId="10" applyNumberFormat="0"/>
    <xf numFmtId="0" fontId="5" fillId="0" borderId="10" applyNumberFormat="0">
      <alignment horizontal="right"/>
    </xf>
    <xf numFmtId="38" fontId="8" fillId="0" borderId="6">
      <alignment vertical="center"/>
    </xf>
    <xf numFmtId="38" fontId="8" fillId="0" borderId="13">
      <alignment horizontal="left" vertical="center"/>
    </xf>
    <xf numFmtId="0" fontId="11" fillId="0" borderId="0"/>
    <xf numFmtId="0" fontId="15" fillId="0" borderId="0"/>
    <xf numFmtId="0" fontId="5" fillId="0" borderId="0"/>
    <xf numFmtId="0" fontId="5" fillId="0" borderId="0"/>
    <xf numFmtId="0" fontId="5" fillId="0" borderId="0"/>
    <xf numFmtId="181" fontId="5" fillId="0" borderId="0" applyFill="0" applyBorder="0" applyAlignment="0"/>
    <xf numFmtId="182" fontId="15" fillId="0" borderId="0" applyFill="0" applyBorder="0" applyAlignment="0"/>
    <xf numFmtId="184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165" fontId="15" fillId="0" borderId="0" applyFill="0" applyBorder="0" applyAlignment="0"/>
    <xf numFmtId="183" fontId="5" fillId="0" borderId="0" applyFill="0" applyBorder="0" applyAlignment="0"/>
    <xf numFmtId="182" fontId="15" fillId="0" borderId="0" applyFill="0" applyBorder="0" applyAlignment="0"/>
    <xf numFmtId="0" fontId="28" fillId="26" borderId="14" applyNumberFormat="0" applyAlignment="0" applyProtection="0"/>
    <xf numFmtId="0" fontId="5" fillId="0" borderId="0"/>
    <xf numFmtId="0" fontId="24" fillId="27" borderId="15" applyNumberFormat="0" applyAlignment="0" applyProtection="0"/>
    <xf numFmtId="0" fontId="58" fillId="0" borderId="16">
      <alignment horizontal="center"/>
    </xf>
    <xf numFmtId="166" fontId="5" fillId="0" borderId="0" applyFont="0" applyFill="0" applyBorder="0" applyAlignment="0" applyProtection="0"/>
    <xf numFmtId="195" fontId="59" fillId="0" borderId="0"/>
    <xf numFmtId="195" fontId="59" fillId="0" borderId="0"/>
    <xf numFmtId="195" fontId="59" fillId="0" borderId="0"/>
    <xf numFmtId="195" fontId="59" fillId="0" borderId="0"/>
    <xf numFmtId="195" fontId="59" fillId="0" borderId="0"/>
    <xf numFmtId="195" fontId="59" fillId="0" borderId="0"/>
    <xf numFmtId="195" fontId="59" fillId="0" borderId="0"/>
    <xf numFmtId="195" fontId="59" fillId="0" borderId="0"/>
    <xf numFmtId="165" fontId="15" fillId="0" borderId="0" applyFont="0" applyFill="0" applyBorder="0" applyAlignment="0" applyProtection="0"/>
    <xf numFmtId="166" fontId="5" fillId="0" borderId="0" applyFont="0" applyFill="0" applyBorder="0" applyAlignment="0" applyProtection="0"/>
    <xf numFmtId="3" fontId="60" fillId="0" borderId="0" applyFont="0" applyFill="0" applyBorder="0" applyAlignment="0" applyProtection="0"/>
    <xf numFmtId="0" fontId="15" fillId="0" borderId="0"/>
    <xf numFmtId="0" fontId="61" fillId="0" borderId="0" applyNumberFormat="0" applyFill="0" applyBorder="0" applyAlignment="0" applyProtection="0"/>
    <xf numFmtId="0" fontId="16" fillId="0" borderId="0" applyNumberFormat="0" applyAlignment="0">
      <alignment horizontal="left"/>
    </xf>
    <xf numFmtId="0" fontId="62" fillId="0" borderId="0" applyNumberFormat="0" applyAlignment="0"/>
    <xf numFmtId="196" fontId="20" fillId="0" borderId="0" applyFill="0" applyBorder="0" applyProtection="0"/>
    <xf numFmtId="196" fontId="20" fillId="0" borderId="3" applyFill="0" applyProtection="0"/>
    <xf numFmtId="196" fontId="20" fillId="0" borderId="7" applyFill="0" applyProtection="0"/>
    <xf numFmtId="197" fontId="41" fillId="0" borderId="0" applyFill="0" applyBorder="0" applyProtection="0"/>
    <xf numFmtId="198" fontId="63" fillId="0" borderId="0" applyFont="0" applyFill="0" applyBorder="0" applyAlignment="0" applyProtection="0"/>
    <xf numFmtId="182" fontId="15" fillId="0" borderId="0" applyFont="0" applyFill="0" applyBorder="0" applyAlignment="0" applyProtection="0"/>
    <xf numFmtId="199" fontId="63" fillId="0" borderId="0" applyFont="0" applyFill="0" applyBorder="0" applyAlignment="0" applyProtection="0"/>
    <xf numFmtId="200" fontId="63" fillId="0" borderId="0" applyFont="0" applyFill="0" applyBorder="0" applyAlignment="0" applyProtection="0"/>
    <xf numFmtId="201" fontId="60" fillId="0" borderId="0" applyFont="0" applyFill="0" applyBorder="0" applyAlignment="0" applyProtection="0"/>
    <xf numFmtId="0" fontId="64" fillId="28" borderId="10" applyNumberFormat="0" applyBorder="0" applyAlignment="0" applyProtection="0">
      <alignment horizontal="center"/>
    </xf>
    <xf numFmtId="202" fontId="5" fillId="23" borderId="0" applyFont="0" applyBorder="0"/>
    <xf numFmtId="0" fontId="65" fillId="23" borderId="0"/>
    <xf numFmtId="0" fontId="60" fillId="0" borderId="0" applyFont="0" applyFill="0" applyBorder="0" applyAlignment="0" applyProtection="0"/>
    <xf numFmtId="14" fontId="17" fillId="0" borderId="0" applyFill="0" applyBorder="0" applyAlignment="0"/>
    <xf numFmtId="15" fontId="66" fillId="0" borderId="0"/>
    <xf numFmtId="203" fontId="20" fillId="0" borderId="0" applyFill="0" applyBorder="0" applyProtection="0"/>
    <xf numFmtId="203" fontId="20" fillId="0" borderId="3" applyFill="0" applyProtection="0"/>
    <xf numFmtId="203" fontId="20" fillId="0" borderId="7" applyFill="0" applyProtection="0"/>
    <xf numFmtId="204" fontId="41" fillId="0" borderId="0" applyFill="0" applyBorder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176" fontId="5" fillId="0" borderId="0" applyFont="0" applyFill="0" applyBorder="0" applyAlignment="0" applyProtection="0"/>
    <xf numFmtId="40" fontId="67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15" fillId="0" borderId="0" applyFill="0" applyBorder="0" applyAlignment="0"/>
    <xf numFmtId="182" fontId="15" fillId="0" borderId="0" applyFill="0" applyBorder="0" applyAlignment="0"/>
    <xf numFmtId="165" fontId="15" fillId="0" borderId="0" applyFill="0" applyBorder="0" applyAlignment="0"/>
    <xf numFmtId="183" fontId="5" fillId="0" borderId="0" applyFill="0" applyBorder="0" applyAlignment="0"/>
    <xf numFmtId="182" fontId="15" fillId="0" borderId="0" applyFill="0" applyBorder="0" applyAlignment="0"/>
    <xf numFmtId="0" fontId="18" fillId="0" borderId="0" applyNumberFormat="0" applyAlignment="0">
      <alignment horizontal="left"/>
    </xf>
    <xf numFmtId="3" fontId="68" fillId="0" borderId="0" applyFill="0" applyBorder="0">
      <alignment horizontal="left"/>
      <protection locked="0"/>
    </xf>
    <xf numFmtId="38" fontId="5" fillId="0" borderId="0" applyFont="0" applyFill="0" applyBorder="0" applyAlignment="0" applyProtection="0"/>
    <xf numFmtId="0" fontId="69" fillId="0" borderId="5">
      <alignment horizontal="center"/>
    </xf>
    <xf numFmtId="205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70" fillId="0" borderId="0" applyNumberFormat="0" applyFill="0" applyBorder="0" applyProtection="0">
      <alignment vertical="top"/>
    </xf>
    <xf numFmtId="3" fontId="71" fillId="0" borderId="0">
      <alignment horizontal="right"/>
    </xf>
    <xf numFmtId="2" fontId="60" fillId="0" borderId="0" applyFont="0" applyFill="0" applyBorder="0" applyAlignment="0" applyProtection="0"/>
    <xf numFmtId="0" fontId="72" fillId="0" borderId="0"/>
    <xf numFmtId="206" fontId="73" fillId="0" borderId="0" applyFill="0" applyBorder="0" applyProtection="0">
      <alignment horizontal="centerContinuous"/>
      <protection locked="0"/>
    </xf>
    <xf numFmtId="0" fontId="64" fillId="29" borderId="10" applyNumberFormat="0" applyBorder="0" applyAlignment="0" applyProtection="0">
      <alignment horizontal="center"/>
    </xf>
    <xf numFmtId="0" fontId="30" fillId="5" borderId="0" applyNumberFormat="0" applyBorder="0" applyAlignment="0" applyProtection="0"/>
    <xf numFmtId="38" fontId="19" fillId="23" borderId="0" applyNumberFormat="0" applyBorder="0" applyAlignment="0" applyProtection="0"/>
    <xf numFmtId="0" fontId="74" fillId="0" borderId="17">
      <alignment vertical="center"/>
    </xf>
    <xf numFmtId="0" fontId="75" fillId="30" borderId="0">
      <alignment horizontal="center"/>
    </xf>
    <xf numFmtId="0" fontId="10" fillId="0" borderId="18" applyNumberFormat="0" applyAlignment="0" applyProtection="0">
      <alignment horizontal="left" vertical="center"/>
    </xf>
    <xf numFmtId="0" fontId="10" fillId="0" borderId="8">
      <alignment horizontal="left" vertical="center"/>
    </xf>
    <xf numFmtId="49" fontId="76" fillId="31" borderId="0">
      <alignment horizontal="center" vertical="center"/>
    </xf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33" fillId="0" borderId="21" applyNumberFormat="0" applyFill="0" applyAlignment="0" applyProtection="0"/>
    <xf numFmtId="0" fontId="33" fillId="0" borderId="0" applyNumberFormat="0" applyFill="0" applyBorder="0" applyAlignment="0" applyProtection="0"/>
    <xf numFmtId="0" fontId="77" fillId="0" borderId="0"/>
    <xf numFmtId="3" fontId="78" fillId="0" borderId="0">
      <alignment vertical="top"/>
    </xf>
    <xf numFmtId="2" fontId="79" fillId="1" borderId="22">
      <alignment horizontal="left"/>
      <protection locked="0"/>
    </xf>
    <xf numFmtId="0" fontId="46" fillId="0" borderId="0"/>
    <xf numFmtId="0" fontId="9" fillId="0" borderId="0"/>
    <xf numFmtId="0" fontId="80" fillId="0" borderId="0"/>
    <xf numFmtId="0" fontId="15" fillId="0" borderId="0"/>
    <xf numFmtId="0" fontId="5" fillId="0" borderId="0"/>
    <xf numFmtId="2" fontId="81" fillId="0" borderId="10">
      <alignment horizontal="center" vertical="center"/>
    </xf>
    <xf numFmtId="207" fontId="15" fillId="0" borderId="2" applyFill="0" applyBorder="0" applyProtection="0">
      <alignment horizontal="center"/>
      <protection locked="0"/>
    </xf>
    <xf numFmtId="208" fontId="15" fillId="0" borderId="2" applyFill="0" applyBorder="0" applyProtection="0">
      <alignment horizontal="center"/>
      <protection locked="0"/>
    </xf>
    <xf numFmtId="0" fontId="82" fillId="32" borderId="10" applyNumberFormat="0" applyBorder="0" applyAlignment="0" applyProtection="0">
      <alignment horizontal="center"/>
    </xf>
    <xf numFmtId="0" fontId="82" fillId="29" borderId="10" applyNumberFormat="0" applyBorder="0" applyAlignment="0" applyProtection="0">
      <alignment horizontal="center"/>
    </xf>
    <xf numFmtId="17" fontId="83" fillId="28" borderId="10">
      <alignment horizontal="right"/>
      <protection locked="0"/>
    </xf>
    <xf numFmtId="17" fontId="83" fillId="28" borderId="10">
      <alignment horizontal="right"/>
    </xf>
    <xf numFmtId="0" fontId="34" fillId="8" borderId="14" applyNumberFormat="0" applyAlignment="0" applyProtection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10" fontId="19" fillId="28" borderId="10" applyNumberFormat="0" applyBorder="0" applyAlignment="0" applyProtection="0"/>
    <xf numFmtId="172" fontId="5" fillId="33" borderId="0"/>
    <xf numFmtId="176" fontId="84" fillId="0" borderId="0">
      <protection locked="0"/>
    </xf>
    <xf numFmtId="176" fontId="85" fillId="0" borderId="0"/>
    <xf numFmtId="176" fontId="86" fillId="32" borderId="0">
      <protection locked="0"/>
    </xf>
    <xf numFmtId="17" fontId="87" fillId="34" borderId="0">
      <alignment horizontal="left"/>
      <protection locked="0"/>
    </xf>
    <xf numFmtId="17" fontId="88" fillId="0" borderId="0">
      <alignment horizontal="center"/>
      <protection locked="0"/>
    </xf>
    <xf numFmtId="15" fontId="83" fillId="35" borderId="0">
      <alignment horizontal="right"/>
    </xf>
    <xf numFmtId="0" fontId="86" fillId="0" borderId="0">
      <alignment horizontal="left"/>
      <protection locked="0"/>
    </xf>
    <xf numFmtId="0" fontId="89" fillId="0" borderId="0">
      <alignment horizontal="left"/>
    </xf>
    <xf numFmtId="176" fontId="90" fillId="0" borderId="0">
      <protection locked="0"/>
    </xf>
    <xf numFmtId="0" fontId="5" fillId="0" borderId="0"/>
    <xf numFmtId="0" fontId="86" fillId="36" borderId="0">
      <alignment horizontal="left"/>
      <protection locked="0"/>
    </xf>
    <xf numFmtId="0" fontId="91" fillId="34" borderId="0">
      <alignment horizontal="left"/>
      <protection locked="0"/>
    </xf>
    <xf numFmtId="0" fontId="92" fillId="34" borderId="0">
      <alignment horizontal="left"/>
      <protection locked="0"/>
    </xf>
    <xf numFmtId="38" fontId="86" fillId="0" borderId="0">
      <protection locked="0"/>
    </xf>
    <xf numFmtId="40" fontId="93" fillId="0" borderId="0">
      <protection locked="0"/>
    </xf>
    <xf numFmtId="38" fontId="94" fillId="35" borderId="0">
      <protection locked="0"/>
    </xf>
    <xf numFmtId="38" fontId="95" fillId="35" borderId="0">
      <protection locked="0"/>
    </xf>
    <xf numFmtId="38" fontId="96" fillId="0" borderId="0">
      <protection locked="0"/>
    </xf>
    <xf numFmtId="1" fontId="97" fillId="0" borderId="0">
      <alignment horizontal="center"/>
      <protection locked="0"/>
    </xf>
    <xf numFmtId="1" fontId="98" fillId="34" borderId="0">
      <alignment horizontal="left"/>
      <protection locked="0"/>
    </xf>
    <xf numFmtId="176" fontId="99" fillId="35" borderId="0">
      <alignment horizontal="center"/>
    </xf>
    <xf numFmtId="1" fontId="99" fillId="34" borderId="0">
      <alignment horizontal="right"/>
    </xf>
    <xf numFmtId="0" fontId="5" fillId="0" borderId="9"/>
    <xf numFmtId="0" fontId="15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02" fillId="0" borderId="0" applyNumberFormat="0" applyFill="0" applyBorder="0" applyAlignment="0" applyProtection="0">
      <alignment vertical="top"/>
      <protection locked="0"/>
    </xf>
    <xf numFmtId="0" fontId="48" fillId="0" borderId="0" applyNumberFormat="0" applyBorder="0" applyProtection="0">
      <alignment horizontal="center"/>
    </xf>
    <xf numFmtId="0" fontId="20" fillId="0" borderId="0" applyNumberFormat="0" applyFont="0" applyFill="0" applyBorder="0" applyProtection="0">
      <alignment horizontal="left" vertical="center"/>
    </xf>
    <xf numFmtId="0" fontId="5" fillId="0" borderId="0"/>
    <xf numFmtId="165" fontId="15" fillId="0" borderId="0" applyFill="0" applyBorder="0" applyAlignment="0"/>
    <xf numFmtId="182" fontId="15" fillId="0" borderId="0" applyFill="0" applyBorder="0" applyAlignment="0"/>
    <xf numFmtId="165" fontId="15" fillId="0" borderId="0" applyFill="0" applyBorder="0" applyAlignment="0"/>
    <xf numFmtId="183" fontId="5" fillId="0" borderId="0" applyFill="0" applyBorder="0" applyAlignment="0"/>
    <xf numFmtId="182" fontId="15" fillId="0" borderId="0" applyFill="0" applyBorder="0" applyAlignment="0"/>
    <xf numFmtId="0" fontId="35" fillId="0" borderId="23" applyNumberFormat="0" applyFill="0" applyAlignment="0" applyProtection="0"/>
    <xf numFmtId="172" fontId="5" fillId="37" borderId="0"/>
    <xf numFmtId="0" fontId="5" fillId="0" borderId="0"/>
    <xf numFmtId="0" fontId="5" fillId="0" borderId="0"/>
    <xf numFmtId="0" fontId="5" fillId="0" borderId="0"/>
    <xf numFmtId="0" fontId="5" fillId="0" borderId="0"/>
    <xf numFmtId="209" fontId="5" fillId="0" borderId="0" applyFont="0" applyFill="0" applyBorder="0" applyAlignment="0" applyProtection="0"/>
    <xf numFmtId="0" fontId="103" fillId="0" borderId="0">
      <alignment horizontal="center"/>
    </xf>
    <xf numFmtId="0" fontId="104" fillId="0" borderId="24">
      <alignment horizontal="centerContinuous"/>
    </xf>
    <xf numFmtId="0" fontId="5" fillId="0" borderId="0">
      <alignment horizontal="center"/>
    </xf>
    <xf numFmtId="38" fontId="66" fillId="0" borderId="0" applyFont="0" applyFill="0" applyBorder="0" applyAlignment="0" applyProtection="0"/>
    <xf numFmtId="40" fontId="21" fillId="0" borderId="0" applyFont="0" applyFill="0" applyBorder="0" applyAlignment="0" applyProtection="0"/>
    <xf numFmtId="17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0" fontId="7" fillId="0" borderId="0"/>
    <xf numFmtId="172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213" fontId="15" fillId="0" borderId="2" applyFill="0" applyBorder="0" applyProtection="0">
      <alignment horizontal="center"/>
      <protection locked="0"/>
    </xf>
    <xf numFmtId="0" fontId="36" fillId="38" borderId="0" applyNumberFormat="0" applyBorder="0" applyAlignment="0" applyProtection="0"/>
    <xf numFmtId="37" fontId="10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9" fontId="22" fillId="0" borderId="0"/>
    <xf numFmtId="0" fontId="5" fillId="0" borderId="0"/>
    <xf numFmtId="0" fontId="1" fillId="0" borderId="0"/>
    <xf numFmtId="17" fontId="5" fillId="0" borderId="0"/>
    <xf numFmtId="0" fontId="106" fillId="0" borderId="0"/>
    <xf numFmtId="0" fontId="107" fillId="0" borderId="0"/>
    <xf numFmtId="0" fontId="108" fillId="34" borderId="0">
      <alignment horizontal="left"/>
    </xf>
    <xf numFmtId="0" fontId="9" fillId="35" borderId="0">
      <alignment horizontal="center"/>
    </xf>
    <xf numFmtId="214" fontId="109" fillId="39" borderId="0">
      <alignment horizontal="center"/>
      <protection locked="0"/>
    </xf>
    <xf numFmtId="1" fontId="109" fillId="36" borderId="0">
      <alignment horizontal="left"/>
    </xf>
    <xf numFmtId="0" fontId="14" fillId="40" borderId="25" applyNumberFormat="0" applyFont="0" applyAlignment="0" applyProtection="0"/>
    <xf numFmtId="0" fontId="20" fillId="0" borderId="13">
      <alignment vertical="top" wrapText="1"/>
    </xf>
    <xf numFmtId="40" fontId="110" fillId="0" borderId="0" applyFont="0" applyFill="0" applyBorder="0" applyAlignment="0" applyProtection="0"/>
    <xf numFmtId="38" fontId="110" fillId="0" borderId="0" applyFont="0" applyFill="0" applyBorder="0" applyAlignment="0" applyProtection="0"/>
    <xf numFmtId="168" fontId="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11" fillId="23" borderId="10" applyNumberFormat="0" applyBorder="0" applyAlignment="0" applyProtection="0">
      <alignment horizontal="center"/>
    </xf>
    <xf numFmtId="215" fontId="112" fillId="0" borderId="0">
      <alignment horizontal="left"/>
    </xf>
    <xf numFmtId="3" fontId="70" fillId="0" borderId="0">
      <alignment vertical="top"/>
    </xf>
    <xf numFmtId="216" fontId="15" fillId="0" borderId="2" applyFill="0" applyBorder="0" applyProtection="0">
      <alignment horizontal="center"/>
      <protection locked="0"/>
    </xf>
    <xf numFmtId="0" fontId="37" fillId="26" borderId="26" applyNumberFormat="0" applyAlignment="0" applyProtection="0"/>
    <xf numFmtId="14" fontId="52" fillId="0" borderId="0">
      <alignment horizontal="center" wrapText="1"/>
      <protection locked="0"/>
    </xf>
    <xf numFmtId="0" fontId="15" fillId="0" borderId="0"/>
    <xf numFmtId="9" fontId="5" fillId="0" borderId="0" applyFont="0" applyFill="0" applyBorder="0" applyAlignment="0" applyProtection="0"/>
    <xf numFmtId="217" fontId="113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56" fillId="0" borderId="27" applyNumberFormat="0" applyFont="0" applyFill="0" applyAlignment="0" applyProtection="0">
      <alignment horizontal="center"/>
    </xf>
    <xf numFmtId="165" fontId="15" fillId="0" borderId="0" applyFill="0" applyBorder="0" applyAlignment="0"/>
    <xf numFmtId="182" fontId="15" fillId="0" borderId="0" applyFill="0" applyBorder="0" applyAlignment="0"/>
    <xf numFmtId="165" fontId="15" fillId="0" borderId="0" applyFill="0" applyBorder="0" applyAlignment="0"/>
    <xf numFmtId="183" fontId="5" fillId="0" borderId="0" applyFill="0" applyBorder="0" applyAlignment="0"/>
    <xf numFmtId="182" fontId="15" fillId="0" borderId="0" applyFill="0" applyBorder="0" applyAlignment="0"/>
    <xf numFmtId="218" fontId="52" fillId="0" borderId="0"/>
    <xf numFmtId="171" fontId="114" fillId="0" borderId="0"/>
    <xf numFmtId="0" fontId="66" fillId="0" borderId="0" applyNumberFormat="0" applyFont="0" applyFill="0" applyBorder="0" applyAlignment="0" applyProtection="0">
      <alignment horizontal="left"/>
    </xf>
    <xf numFmtId="15" fontId="66" fillId="0" borderId="0" applyFont="0" applyFill="0" applyBorder="0" applyAlignment="0" applyProtection="0"/>
    <xf numFmtId="4" fontId="66" fillId="0" borderId="0" applyFont="0" applyFill="0" applyBorder="0" applyAlignment="0" applyProtection="0"/>
    <xf numFmtId="0" fontId="115" fillId="0" borderId="9">
      <alignment horizontal="center"/>
    </xf>
    <xf numFmtId="3" fontId="66" fillId="0" borderId="0" applyFont="0" applyFill="0" applyBorder="0" applyAlignment="0" applyProtection="0"/>
    <xf numFmtId="0" fontId="66" fillId="41" borderId="0" applyNumberFormat="0" applyFont="0" applyBorder="0" applyAlignment="0" applyProtection="0"/>
    <xf numFmtId="219" fontId="73" fillId="0" borderId="0" applyFill="0" applyBorder="0" applyProtection="0">
      <alignment horizontal="centerContinuous"/>
      <protection locked="0"/>
    </xf>
    <xf numFmtId="0" fontId="116" fillId="0" borderId="0">
      <alignment horizontal="center"/>
    </xf>
    <xf numFmtId="0" fontId="117" fillId="0" borderId="12" applyNumberFormat="0" applyBorder="0" applyAlignment="0" applyProtection="0">
      <alignment horizontal="center" vertical="top"/>
      <protection locked="0"/>
    </xf>
    <xf numFmtId="38" fontId="118" fillId="0" borderId="0" applyFont="0" applyFill="0" applyBorder="0" applyAlignment="0" applyProtection="0"/>
    <xf numFmtId="0" fontId="91" fillId="0" borderId="0">
      <alignment horizontal="center"/>
      <protection locked="0"/>
    </xf>
    <xf numFmtId="180" fontId="5" fillId="0" borderId="0" applyNumberFormat="0" applyFill="0" applyBorder="0" applyAlignment="0" applyProtection="0">
      <alignment horizontal="left"/>
    </xf>
    <xf numFmtId="220" fontId="78" fillId="0" borderId="0"/>
    <xf numFmtId="0" fontId="5" fillId="40" borderId="0" applyNumberFormat="0" applyFont="0" applyBorder="0" applyAlignment="0" applyProtection="0"/>
    <xf numFmtId="0" fontId="5" fillId="42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5" fillId="0" borderId="0" applyNumberFormat="0" applyFont="0" applyFill="0" applyBorder="0" applyAlignment="0" applyProtection="0"/>
    <xf numFmtId="0" fontId="5" fillId="26" borderId="0" applyNumberFormat="0" applyFont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23" borderId="0"/>
    <xf numFmtId="0" fontId="119" fillId="23" borderId="0"/>
    <xf numFmtId="0" fontId="120" fillId="23" borderId="0">
      <alignment vertical="center"/>
    </xf>
    <xf numFmtId="221" fontId="9" fillId="36" borderId="28">
      <protection locked="0"/>
    </xf>
    <xf numFmtId="221" fontId="119" fillId="23" borderId="28"/>
    <xf numFmtId="3" fontId="9" fillId="23" borderId="29"/>
    <xf numFmtId="221" fontId="108" fillId="23" borderId="30"/>
    <xf numFmtId="0" fontId="9" fillId="23" borderId="4">
      <alignment horizontal="right"/>
    </xf>
    <xf numFmtId="0" fontId="119" fillId="23" borderId="4">
      <alignment horizontal="left"/>
    </xf>
    <xf numFmtId="221" fontId="9" fillId="23" borderId="31"/>
    <xf numFmtId="221" fontId="119" fillId="23" borderId="32"/>
    <xf numFmtId="1" fontId="106" fillId="0" borderId="0" applyBorder="0">
      <alignment horizontal="left" vertical="top" wrapText="1"/>
    </xf>
    <xf numFmtId="222" fontId="66" fillId="0" borderId="0">
      <alignment horizontal="center"/>
    </xf>
    <xf numFmtId="0" fontId="43" fillId="0" borderId="0"/>
    <xf numFmtId="40" fontId="23" fillId="0" borderId="0" applyBorder="0">
      <alignment horizontal="right"/>
    </xf>
    <xf numFmtId="38" fontId="121" fillId="0" borderId="4" applyBorder="0">
      <alignment horizontal="right"/>
      <protection locked="0"/>
    </xf>
    <xf numFmtId="17" fontId="122" fillId="0" borderId="0" applyNumberFormat="0" applyFont="0" applyFill="0" applyBorder="0" applyAlignment="0">
      <alignment horizontal="right"/>
    </xf>
    <xf numFmtId="49" fontId="17" fillId="0" borderId="0" applyFill="0" applyBorder="0" applyAlignment="0"/>
    <xf numFmtId="185" fontId="5" fillId="0" borderId="0" applyFill="0" applyBorder="0" applyAlignment="0"/>
    <xf numFmtId="186" fontId="5" fillId="0" borderId="0" applyFill="0" applyBorder="0" applyAlignment="0"/>
    <xf numFmtId="0" fontId="123" fillId="0" borderId="0">
      <alignment horizontal="center" vertical="top"/>
    </xf>
    <xf numFmtId="0" fontId="72" fillId="0" borderId="0" applyFill="0" applyBorder="0" applyAlignment="0">
      <alignment horizontal="right"/>
    </xf>
    <xf numFmtId="0" fontId="38" fillId="0" borderId="0" applyNumberFormat="0" applyFill="0" applyBorder="0" applyAlignment="0" applyProtection="0"/>
    <xf numFmtId="0" fontId="13" fillId="0" borderId="33" applyNumberFormat="0" applyFill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215" fontId="112" fillId="0" borderId="0">
      <alignment horizontal="left"/>
    </xf>
    <xf numFmtId="0" fontId="5" fillId="0" borderId="0"/>
    <xf numFmtId="0" fontId="124" fillId="32" borderId="1" applyNumberFormat="0">
      <alignment horizontal="center" vertical="center" wrapText="1"/>
    </xf>
    <xf numFmtId="223" fontId="66" fillId="0" borderId="0" applyFont="0" applyFill="0" applyBorder="0" applyAlignment="0" applyProtection="0"/>
    <xf numFmtId="224" fontId="4" fillId="0" borderId="0" applyFont="0" applyFill="0" applyBorder="0" applyAlignment="0" applyProtection="0"/>
    <xf numFmtId="0" fontId="125" fillId="43" borderId="0"/>
    <xf numFmtId="0" fontId="78" fillId="0" borderId="34"/>
    <xf numFmtId="46" fontId="41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167" fontId="107" fillId="0" borderId="0" applyFont="0" applyFill="0" applyBorder="0" applyAlignment="0" applyProtection="0"/>
    <xf numFmtId="169" fontId="10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0" fontId="15" fillId="0" borderId="0" applyNumberFormat="0" applyFont="0" applyFill="0" applyBorder="0" applyProtection="0">
      <alignment horizontal="center" vertical="top" wrapText="1"/>
    </xf>
    <xf numFmtId="226" fontId="56" fillId="0" borderId="35" applyNumberFormat="0" applyFont="0" applyFill="0" applyBorder="0" applyProtection="0">
      <alignment horizontal="left" vertical="top" wrapText="1"/>
    </xf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8" fillId="26" borderId="14" applyNumberFormat="0" applyAlignment="0" applyProtection="0"/>
    <xf numFmtId="166" fontId="5" fillId="0" borderId="0" applyFont="0" applyFill="0" applyBorder="0" applyAlignment="0" applyProtection="0"/>
    <xf numFmtId="196" fontId="20" fillId="0" borderId="3" applyFill="0" applyProtection="0"/>
    <xf numFmtId="203" fontId="20" fillId="0" borderId="3" applyFill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69" fillId="0" borderId="5">
      <alignment horizontal="center"/>
    </xf>
    <xf numFmtId="166" fontId="5" fillId="0" borderId="0" applyFont="0" applyFill="0" applyBorder="0" applyAlignment="0" applyProtection="0"/>
    <xf numFmtId="0" fontId="14" fillId="40" borderId="25" applyNumberFormat="0" applyFont="0" applyAlignment="0" applyProtection="0"/>
    <xf numFmtId="9" fontId="5" fillId="0" borderId="0" applyFont="0" applyFill="0" applyBorder="0" applyAlignment="0" applyProtection="0"/>
    <xf numFmtId="0" fontId="37" fillId="26" borderId="26" applyNumberFormat="0" applyAlignment="0" applyProtection="0"/>
    <xf numFmtId="9" fontId="5" fillId="0" borderId="0" applyFont="0" applyFill="0" applyBorder="0" applyAlignment="0" applyProtection="0"/>
    <xf numFmtId="221" fontId="9" fillId="36" borderId="28">
      <protection locked="0"/>
    </xf>
    <xf numFmtId="221" fontId="119" fillId="23" borderId="28"/>
    <xf numFmtId="221" fontId="108" fillId="23" borderId="30"/>
    <xf numFmtId="0" fontId="13" fillId="0" borderId="33" applyNumberFormat="0" applyFill="0" applyAlignment="0" applyProtection="0"/>
    <xf numFmtId="0" fontId="4" fillId="0" borderId="0"/>
    <xf numFmtId="166" fontId="5" fillId="0" borderId="0" applyFont="0" applyFill="0" applyBorder="0" applyAlignment="0" applyProtection="0"/>
    <xf numFmtId="0" fontId="4" fillId="0" borderId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77" fontId="149" fillId="0" borderId="0" applyFont="0" applyFill="0" applyBorder="0" applyAlignment="0" applyProtection="0"/>
    <xf numFmtId="4" fontId="129" fillId="0" borderId="0" applyFont="0" applyFill="0" applyBorder="0" applyAlignment="0" applyProtection="0"/>
    <xf numFmtId="188" fontId="129" fillId="0" borderId="11" applyFill="0" applyBorder="0">
      <alignment horizontal="right"/>
      <protection locked="0"/>
    </xf>
    <xf numFmtId="189" fontId="129" fillId="0" borderId="11" applyFill="0" applyBorder="0">
      <alignment horizontal="right"/>
      <protection locked="0"/>
    </xf>
    <xf numFmtId="190" fontId="129" fillId="0" borderId="11" applyFill="0" applyBorder="0">
      <alignment horizontal="right"/>
      <protection locked="0"/>
    </xf>
    <xf numFmtId="0" fontId="4" fillId="0" borderId="0" applyFont="0" applyFill="0" applyBorder="0" applyAlignment="0" applyProtection="0"/>
    <xf numFmtId="177" fontId="150" fillId="0" borderId="0" applyFont="0" applyFill="0" applyBorder="0" applyAlignment="0" applyProtection="0"/>
    <xf numFmtId="0" fontId="126" fillId="0" borderId="0">
      <alignment vertical="top"/>
    </xf>
    <xf numFmtId="0" fontId="151" fillId="0" borderId="0" applyFont="0" applyFill="0" applyBorder="0" applyAlignment="0" applyProtection="0"/>
    <xf numFmtId="0" fontId="152" fillId="0" borderId="0"/>
    <xf numFmtId="0" fontId="151" fillId="0" borderId="0" applyFont="0" applyFill="0" applyBorder="0" applyAlignment="0" applyProtection="0"/>
    <xf numFmtId="0" fontId="126" fillId="0" borderId="0">
      <alignment vertical="top"/>
    </xf>
    <xf numFmtId="0" fontId="152" fillId="0" borderId="0"/>
    <xf numFmtId="0" fontId="152" fillId="0" borderId="0"/>
    <xf numFmtId="0" fontId="151" fillId="0" borderId="0" applyFont="0" applyFill="0" applyBorder="0" applyAlignment="0" applyProtection="0"/>
    <xf numFmtId="0" fontId="129" fillId="0" borderId="0"/>
    <xf numFmtId="0" fontId="129" fillId="0" borderId="0"/>
    <xf numFmtId="0" fontId="126" fillId="0" borderId="0">
      <alignment vertical="top"/>
    </xf>
    <xf numFmtId="0" fontId="129" fillId="0" borderId="0"/>
    <xf numFmtId="9" fontId="4" fillId="45" borderId="0"/>
    <xf numFmtId="0" fontId="45" fillId="0" borderId="0">
      <alignment horizontal="right"/>
    </xf>
    <xf numFmtId="3" fontId="4" fillId="0" borderId="0">
      <alignment horizontal="center"/>
    </xf>
    <xf numFmtId="0" fontId="128" fillId="46" borderId="0" applyNumberFormat="0" applyBorder="0" applyAlignment="0" applyProtection="0"/>
    <xf numFmtId="0" fontId="128" fillId="47" borderId="0" applyNumberFormat="0" applyBorder="0" applyAlignment="0" applyProtection="0"/>
    <xf numFmtId="0" fontId="128" fillId="45" borderId="0" applyNumberFormat="0" applyBorder="0" applyAlignment="0" applyProtection="0"/>
    <xf numFmtId="0" fontId="128" fillId="48" borderId="0" applyNumberFormat="0" applyBorder="0" applyAlignment="0" applyProtection="0"/>
    <xf numFmtId="0" fontId="128" fillId="49" borderId="0" applyNumberFormat="0" applyBorder="0" applyAlignment="0" applyProtection="0"/>
    <xf numFmtId="0" fontId="128" fillId="50" borderId="0" applyNumberFormat="0" applyBorder="0" applyAlignment="0" applyProtection="0"/>
    <xf numFmtId="0" fontId="128" fillId="51" borderId="0" applyNumberFormat="0" applyBorder="0" applyAlignment="0" applyProtection="0"/>
    <xf numFmtId="0" fontId="128" fillId="52" borderId="0" applyNumberFormat="0" applyBorder="0" applyAlignment="0" applyProtection="0"/>
    <xf numFmtId="0" fontId="128" fillId="53" borderId="0" applyNumberFormat="0" applyBorder="0" applyAlignment="0" applyProtection="0"/>
    <xf numFmtId="0" fontId="128" fillId="48" borderId="0" applyNumberFormat="0" applyBorder="0" applyAlignment="0" applyProtection="0"/>
    <xf numFmtId="0" fontId="128" fillId="51" borderId="0" applyNumberFormat="0" applyBorder="0" applyAlignment="0" applyProtection="0"/>
    <xf numFmtId="0" fontId="128" fillId="54" borderId="0" applyNumberFormat="0" applyBorder="0" applyAlignment="0" applyProtection="0"/>
    <xf numFmtId="0" fontId="136" fillId="55" borderId="0" applyNumberFormat="0" applyBorder="0" applyAlignment="0" applyProtection="0"/>
    <xf numFmtId="0" fontId="136" fillId="52" borderId="0" applyNumberFormat="0" applyBorder="0" applyAlignment="0" applyProtection="0"/>
    <xf numFmtId="0" fontId="136" fillId="53" borderId="0" applyNumberFormat="0" applyBorder="0" applyAlignment="0" applyProtection="0"/>
    <xf numFmtId="0" fontId="136" fillId="56" borderId="0" applyNumberFormat="0" applyBorder="0" applyAlignment="0" applyProtection="0"/>
    <xf numFmtId="0" fontId="136" fillId="57" borderId="0" applyNumberFormat="0" applyBorder="0" applyAlignment="0" applyProtection="0"/>
    <xf numFmtId="0" fontId="136" fillId="58" borderId="0" applyNumberFormat="0" applyBorder="0" applyAlignment="0" applyProtection="0"/>
    <xf numFmtId="0" fontId="153" fillId="0" borderId="0" applyNumberFormat="0" applyFill="0" applyBorder="0"/>
    <xf numFmtId="3" fontId="154" fillId="0" borderId="0"/>
    <xf numFmtId="0" fontId="136" fillId="59" borderId="0" applyNumberFormat="0" applyBorder="0" applyAlignment="0" applyProtection="0"/>
    <xf numFmtId="0" fontId="136" fillId="60" borderId="0" applyNumberFormat="0" applyBorder="0" applyAlignment="0" applyProtection="0"/>
    <xf numFmtId="0" fontId="136" fillId="61" borderId="0" applyNumberFormat="0" applyBorder="0" applyAlignment="0" applyProtection="0"/>
    <xf numFmtId="0" fontId="136" fillId="56" borderId="0" applyNumberFormat="0" applyBorder="0" applyAlignment="0" applyProtection="0"/>
    <xf numFmtId="0" fontId="136" fillId="57" borderId="0" applyNumberFormat="0" applyBorder="0" applyAlignment="0" applyProtection="0"/>
    <xf numFmtId="0" fontId="136" fillId="62" borderId="0" applyNumberFormat="0" applyBorder="0" applyAlignment="0" applyProtection="0"/>
    <xf numFmtId="0" fontId="8" fillId="0" borderId="10" applyNumberFormat="0" applyFont="0" applyBorder="0" applyAlignment="0">
      <protection locked="0"/>
    </xf>
    <xf numFmtId="0" fontId="155" fillId="0" borderId="0">
      <alignment horizontal="left"/>
    </xf>
    <xf numFmtId="0" fontId="156" fillId="0" borderId="0" applyFont="0" applyBorder="0"/>
    <xf numFmtId="193" fontId="4" fillId="0" borderId="0" applyFont="0" applyFill="0" applyBorder="0">
      <alignment horizontal="left"/>
    </xf>
    <xf numFmtId="0" fontId="4" fillId="55" borderId="0"/>
    <xf numFmtId="0" fontId="137" fillId="47" borderId="0" applyNumberFormat="0" applyBorder="0" applyAlignment="0" applyProtection="0"/>
    <xf numFmtId="0" fontId="157" fillId="1" borderId="0">
      <alignment horizontal="centerContinuous" vertical="center"/>
    </xf>
    <xf numFmtId="182" fontId="158" fillId="63" borderId="1">
      <alignment horizontal="left" vertical="center"/>
    </xf>
    <xf numFmtId="0" fontId="159" fillId="0" borderId="12" applyNumberFormat="0" applyBorder="0">
      <protection locked="0"/>
    </xf>
    <xf numFmtId="0" fontId="160" fillId="64" borderId="12" applyNumberFormat="0" applyBorder="0">
      <protection locked="0"/>
    </xf>
    <xf numFmtId="38" fontId="4" fillId="65" borderId="10">
      <protection locked="0"/>
    </xf>
    <xf numFmtId="194" fontId="4" fillId="65" borderId="10">
      <protection locked="0"/>
    </xf>
    <xf numFmtId="49" fontId="4" fillId="65" borderId="10">
      <alignment horizontal="left"/>
      <protection locked="0"/>
    </xf>
    <xf numFmtId="38" fontId="4" fillId="0" borderId="10"/>
    <xf numFmtId="38" fontId="8" fillId="0" borderId="10"/>
    <xf numFmtId="194" fontId="4" fillId="0" borderId="10"/>
    <xf numFmtId="40" fontId="4" fillId="0" borderId="10"/>
    <xf numFmtId="0" fontId="8" fillId="0" borderId="10" applyNumberFormat="0">
      <alignment horizontal="center"/>
    </xf>
    <xf numFmtId="0" fontId="8" fillId="66" borderId="10" applyNumberFormat="0" applyFont="0" applyBorder="0"/>
    <xf numFmtId="0" fontId="4" fillId="0" borderId="10" applyNumberFormat="0"/>
    <xf numFmtId="0" fontId="8" fillId="0" borderId="10" applyNumberFormat="0"/>
    <xf numFmtId="0" fontId="4" fillId="0" borderId="10" applyNumberFormat="0">
      <alignment horizontal="right"/>
    </xf>
    <xf numFmtId="0" fontId="129" fillId="0" borderId="0"/>
    <xf numFmtId="0" fontId="4" fillId="0" borderId="0"/>
    <xf numFmtId="0" fontId="4" fillId="0" borderId="0"/>
    <xf numFmtId="0" fontId="4" fillId="0" borderId="0"/>
    <xf numFmtId="181" fontId="4" fillId="0" borderId="0" applyFill="0" applyBorder="0" applyAlignment="0"/>
    <xf numFmtId="182" fontId="129" fillId="0" borderId="0" applyFill="0" applyBorder="0" applyAlignment="0"/>
    <xf numFmtId="184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65" fontId="129" fillId="0" borderId="0" applyFill="0" applyBorder="0" applyAlignment="0"/>
    <xf numFmtId="183" fontId="4" fillId="0" borderId="0" applyFill="0" applyBorder="0" applyAlignment="0"/>
    <xf numFmtId="182" fontId="129" fillId="0" borderId="0" applyFill="0" applyBorder="0" applyAlignment="0"/>
    <xf numFmtId="0" fontId="138" fillId="64" borderId="44" applyNumberFormat="0" applyAlignment="0" applyProtection="0"/>
    <xf numFmtId="0" fontId="4" fillId="0" borderId="0"/>
    <xf numFmtId="0" fontId="134" fillId="67" borderId="45" applyNumberFormat="0" applyAlignment="0" applyProtection="0"/>
    <xf numFmtId="166" fontId="4" fillId="0" borderId="0" applyFont="0" applyFill="0" applyBorder="0" applyAlignment="0" applyProtection="0"/>
    <xf numFmtId="195" fontId="161" fillId="0" borderId="0"/>
    <xf numFmtId="195" fontId="161" fillId="0" borderId="0"/>
    <xf numFmtId="195" fontId="161" fillId="0" borderId="0"/>
    <xf numFmtId="195" fontId="161" fillId="0" borderId="0"/>
    <xf numFmtId="195" fontId="161" fillId="0" borderId="0"/>
    <xf numFmtId="195" fontId="161" fillId="0" borderId="0"/>
    <xf numFmtId="195" fontId="161" fillId="0" borderId="0"/>
    <xf numFmtId="195" fontId="161" fillId="0" borderId="0"/>
    <xf numFmtId="165" fontId="129" fillId="0" borderId="0" applyFont="0" applyFill="0" applyBorder="0" applyAlignment="0" applyProtection="0"/>
    <xf numFmtId="3" fontId="162" fillId="0" borderId="0" applyFont="0" applyFill="0" applyBorder="0" applyAlignment="0" applyProtection="0"/>
    <xf numFmtId="0" fontId="129" fillId="0" borderId="0"/>
    <xf numFmtId="0" fontId="16" fillId="0" borderId="0" applyNumberFormat="0"/>
    <xf numFmtId="196" fontId="20" fillId="0" borderId="3" applyFill="0" applyProtection="0"/>
    <xf numFmtId="196" fontId="20" fillId="0" borderId="7" applyFill="0" applyProtection="0"/>
    <xf numFmtId="198" fontId="163" fillId="0" borderId="0" applyFont="0" applyFill="0" applyBorder="0" applyAlignment="0" applyProtection="0"/>
    <xf numFmtId="182" fontId="129" fillId="0" borderId="0" applyFont="0" applyFill="0" applyBorder="0" applyAlignment="0" applyProtection="0"/>
    <xf numFmtId="199" fontId="163" fillId="0" borderId="0" applyFont="0" applyFill="0" applyBorder="0" applyAlignment="0" applyProtection="0"/>
    <xf numFmtId="200" fontId="163" fillId="0" borderId="0" applyFont="0" applyFill="0" applyBorder="0" applyAlignment="0" applyProtection="0"/>
    <xf numFmtId="201" fontId="162" fillId="0" borderId="0" applyFont="0" applyFill="0" applyBorder="0" applyAlignment="0" applyProtection="0"/>
    <xf numFmtId="202" fontId="4" fillId="64" borderId="0" applyFont="0" applyBorder="0"/>
    <xf numFmtId="0" fontId="164" fillId="64" borderId="0"/>
    <xf numFmtId="0" fontId="162" fillId="0" borderId="0" applyFont="0" applyFill="0" applyBorder="0" applyAlignment="0" applyProtection="0"/>
    <xf numFmtId="14" fontId="126" fillId="0" borderId="0" applyFill="0" applyBorder="0" applyAlignment="0"/>
    <xf numFmtId="203" fontId="20" fillId="0" borderId="3" applyFill="0" applyProtection="0"/>
    <xf numFmtId="203" fontId="20" fillId="0" borderId="7" applyFill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165" fontId="129" fillId="0" borderId="0" applyFill="0" applyBorder="0" applyAlignment="0"/>
    <xf numFmtId="182" fontId="129" fillId="0" borderId="0" applyFill="0" applyBorder="0" applyAlignment="0"/>
    <xf numFmtId="165" fontId="129" fillId="0" borderId="0" applyFill="0" applyBorder="0" applyAlignment="0"/>
    <xf numFmtId="183" fontId="4" fillId="0" borderId="0" applyFill="0" applyBorder="0" applyAlignment="0"/>
    <xf numFmtId="182" fontId="129" fillId="0" borderId="0" applyFill="0" applyBorder="0" applyAlignment="0"/>
    <xf numFmtId="0" fontId="130" fillId="0" borderId="0" applyNumberFormat="0"/>
    <xf numFmtId="0" fontId="165" fillId="0" borderId="5">
      <alignment horizontal="center"/>
    </xf>
    <xf numFmtId="205" fontId="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2" fontId="162" fillId="0" borderId="0" applyFont="0" applyFill="0" applyBorder="0" applyAlignment="0" applyProtection="0"/>
    <xf numFmtId="206" fontId="166" fillId="0" borderId="0" applyFill="0" applyBorder="0">
      <alignment horizontal="centerContinuous"/>
      <protection locked="0"/>
    </xf>
    <xf numFmtId="0" fontId="140" fillId="45" borderId="0" applyNumberFormat="0" applyBorder="0" applyAlignment="0" applyProtection="0"/>
    <xf numFmtId="0" fontId="11" fillId="64" borderId="0" applyNumberFormat="0" applyBorder="0" applyAlignment="0" applyProtection="0"/>
    <xf numFmtId="0" fontId="74" fillId="0" borderId="17">
      <alignment vertical="center"/>
    </xf>
    <xf numFmtId="0" fontId="167" fillId="30" borderId="0">
      <alignment horizontal="center"/>
    </xf>
    <xf numFmtId="0" fontId="10" fillId="0" borderId="18" applyNumberFormat="0" applyProtection="0"/>
    <xf numFmtId="0" fontId="10" fillId="0" borderId="46">
      <alignment horizontal="left" vertical="center"/>
    </xf>
    <xf numFmtId="49" fontId="168" fillId="69" borderId="0">
      <alignment horizontal="center" vertical="center"/>
    </xf>
    <xf numFmtId="0" fontId="141" fillId="0" borderId="47" applyNumberFormat="0" applyFill="0" applyAlignment="0" applyProtection="0"/>
    <xf numFmtId="0" fontId="142" fillId="0" borderId="48" applyNumberFormat="0" applyFill="0" applyAlignment="0" applyProtection="0"/>
    <xf numFmtId="0" fontId="143" fillId="0" borderId="49" applyNumberFormat="0" applyFill="0" applyAlignment="0" applyProtection="0"/>
    <xf numFmtId="0" fontId="143" fillId="0" borderId="0" applyNumberFormat="0" applyFill="0" applyBorder="0" applyAlignment="0" applyProtection="0"/>
    <xf numFmtId="2" fontId="79" fillId="1" borderId="50">
      <alignment horizontal="left"/>
      <protection locked="0"/>
    </xf>
    <xf numFmtId="0" fontId="45" fillId="0" borderId="0"/>
    <xf numFmtId="0" fontId="8" fillId="0" borderId="0"/>
    <xf numFmtId="0" fontId="129" fillId="0" borderId="0"/>
    <xf numFmtId="0" fontId="4" fillId="0" borderId="0"/>
    <xf numFmtId="2" fontId="81" fillId="0" borderId="10">
      <alignment horizontal="center" vertical="center"/>
    </xf>
    <xf numFmtId="207" fontId="129" fillId="0" borderId="2" applyFill="0" applyBorder="0">
      <alignment horizontal="center"/>
      <protection locked="0"/>
    </xf>
    <xf numFmtId="208" fontId="129" fillId="0" borderId="2" applyFill="0" applyBorder="0">
      <alignment horizontal="center"/>
      <protection locked="0"/>
    </xf>
    <xf numFmtId="0" fontId="169" fillId="70" borderId="10" applyNumberFormat="0" applyBorder="0" applyProtection="0"/>
    <xf numFmtId="0" fontId="169" fillId="68" borderId="10" applyNumberFormat="0" applyBorder="0" applyProtection="0"/>
    <xf numFmtId="17" fontId="170" fillId="65" borderId="10">
      <alignment horizontal="right"/>
      <protection locked="0"/>
    </xf>
    <xf numFmtId="17" fontId="170" fillId="65" borderId="10">
      <alignment horizontal="right"/>
    </xf>
    <xf numFmtId="0" fontId="144" fillId="50" borderId="44" applyNumberFormat="0" applyAlignment="0" applyProtection="0"/>
    <xf numFmtId="0" fontId="4" fillId="0" borderId="0"/>
    <xf numFmtId="0" fontId="129" fillId="0" borderId="0"/>
    <xf numFmtId="0" fontId="4" fillId="0" borderId="0"/>
    <xf numFmtId="0" fontId="4" fillId="0" borderId="0"/>
    <xf numFmtId="0" fontId="4" fillId="0" borderId="0"/>
    <xf numFmtId="0" fontId="11" fillId="65" borderId="10" applyNumberFormat="0" applyBorder="0" applyAlignment="0" applyProtection="0"/>
    <xf numFmtId="172" fontId="4" fillId="71" borderId="0"/>
    <xf numFmtId="176" fontId="171" fillId="0" borderId="0">
      <protection locked="0"/>
    </xf>
    <xf numFmtId="176" fontId="172" fillId="0" borderId="0"/>
    <xf numFmtId="176" fontId="173" fillId="70" borderId="0">
      <protection locked="0"/>
    </xf>
    <xf numFmtId="17" fontId="174" fillId="72" borderId="0">
      <alignment horizontal="left"/>
      <protection locked="0"/>
    </xf>
    <xf numFmtId="17" fontId="175" fillId="0" borderId="0">
      <alignment horizontal="center"/>
      <protection locked="0"/>
    </xf>
    <xf numFmtId="15" fontId="170" fillId="35" borderId="0">
      <alignment horizontal="right"/>
    </xf>
    <xf numFmtId="0" fontId="173" fillId="0" borderId="0">
      <alignment horizontal="left"/>
      <protection locked="0"/>
    </xf>
    <xf numFmtId="0" fontId="176" fillId="0" borderId="0">
      <alignment horizontal="left"/>
    </xf>
    <xf numFmtId="176" fontId="177" fillId="0" borderId="0">
      <protection locked="0"/>
    </xf>
    <xf numFmtId="0" fontId="4" fillId="0" borderId="0"/>
    <xf numFmtId="0" fontId="173" fillId="73" borderId="0">
      <alignment horizontal="left"/>
      <protection locked="0"/>
    </xf>
    <xf numFmtId="0" fontId="170" fillId="72" borderId="0">
      <alignment horizontal="left"/>
      <protection locked="0"/>
    </xf>
    <xf numFmtId="0" fontId="178" fillId="72" borderId="0">
      <alignment horizontal="left"/>
      <protection locked="0"/>
    </xf>
    <xf numFmtId="38" fontId="173" fillId="0" borderId="0">
      <protection locked="0"/>
    </xf>
    <xf numFmtId="40" fontId="179" fillId="0" borderId="0">
      <protection locked="0"/>
    </xf>
    <xf numFmtId="38" fontId="180" fillId="35" borderId="0">
      <protection locked="0"/>
    </xf>
    <xf numFmtId="38" fontId="181" fillId="35" borderId="0">
      <protection locked="0"/>
    </xf>
    <xf numFmtId="38" fontId="182" fillId="0" borderId="0">
      <protection locked="0"/>
    </xf>
    <xf numFmtId="1" fontId="183" fillId="0" borderId="0">
      <alignment horizontal="center"/>
      <protection locked="0"/>
    </xf>
    <xf numFmtId="1" fontId="184" fillId="72" borderId="0">
      <alignment horizontal="left"/>
      <protection locked="0"/>
    </xf>
    <xf numFmtId="176" fontId="173" fillId="35" borderId="0">
      <alignment horizontal="center"/>
    </xf>
    <xf numFmtId="1" fontId="173" fillId="72" borderId="0">
      <alignment horizontal="right"/>
    </xf>
    <xf numFmtId="0" fontId="4" fillId="0" borderId="9"/>
    <xf numFmtId="0" fontId="185" fillId="0" borderId="0" applyNumberFormat="0" applyFill="0" applyBorder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129" fillId="0" borderId="0"/>
    <xf numFmtId="0" fontId="4" fillId="0" borderId="0"/>
    <xf numFmtId="0" fontId="186" fillId="0" borderId="0" applyNumberFormat="0" applyFill="0" applyBorder="0">
      <protection locked="0"/>
    </xf>
    <xf numFmtId="0" fontId="153" fillId="0" borderId="0" applyNumberFormat="0" applyBorder="0" applyProtection="0">
      <alignment horizontal="center"/>
    </xf>
    <xf numFmtId="0" fontId="4" fillId="0" borderId="0"/>
    <xf numFmtId="165" fontId="129" fillId="0" borderId="0" applyFill="0" applyBorder="0" applyAlignment="0"/>
    <xf numFmtId="182" fontId="129" fillId="0" borderId="0" applyFill="0" applyBorder="0" applyAlignment="0"/>
    <xf numFmtId="165" fontId="129" fillId="0" borderId="0" applyFill="0" applyBorder="0" applyAlignment="0"/>
    <xf numFmtId="183" fontId="4" fillId="0" borderId="0" applyFill="0" applyBorder="0" applyAlignment="0"/>
    <xf numFmtId="182" fontId="129" fillId="0" borderId="0" applyFill="0" applyBorder="0" applyAlignment="0"/>
    <xf numFmtId="0" fontId="145" fillId="0" borderId="51" applyNumberFormat="0" applyFill="0" applyAlignment="0" applyProtection="0"/>
    <xf numFmtId="172" fontId="4" fillId="74" borderId="0"/>
    <xf numFmtId="0" fontId="4" fillId="0" borderId="0"/>
    <xf numFmtId="0" fontId="4" fillId="0" borderId="0"/>
    <xf numFmtId="0" fontId="4" fillId="0" borderId="0"/>
    <xf numFmtId="0" fontId="4" fillId="0" borderId="0"/>
    <xf numFmtId="209" fontId="4" fillId="0" borderId="0" applyFont="0" applyFill="0" applyBorder="0" applyAlignment="0" applyProtection="0"/>
    <xf numFmtId="0" fontId="4" fillId="0" borderId="0">
      <alignment horizontal="center"/>
    </xf>
    <xf numFmtId="210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3" fontId="129" fillId="0" borderId="2" applyFill="0" applyBorder="0">
      <alignment horizontal="center"/>
      <protection locked="0"/>
    </xf>
    <xf numFmtId="0" fontId="146" fillId="7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9" fillId="0" borderId="0"/>
    <xf numFmtId="0" fontId="129" fillId="0" borderId="0"/>
    <xf numFmtId="0" fontId="129" fillId="0" borderId="0"/>
    <xf numFmtId="179" fontId="132" fillId="0" borderId="0"/>
    <xf numFmtId="0" fontId="4" fillId="0" borderId="0"/>
    <xf numFmtId="0" fontId="3" fillId="0" borderId="0"/>
    <xf numFmtId="17" fontId="4" fillId="0" borderId="0"/>
    <xf numFmtId="0" fontId="187" fillId="72" borderId="0">
      <alignment horizontal="left"/>
    </xf>
    <xf numFmtId="0" fontId="8" fillId="35" borderId="0">
      <alignment horizontal="center"/>
    </xf>
    <xf numFmtId="214" fontId="109" fillId="75" borderId="0">
      <alignment horizontal="center"/>
      <protection locked="0"/>
    </xf>
    <xf numFmtId="1" fontId="109" fillId="73" borderId="0">
      <alignment horizontal="left"/>
    </xf>
    <xf numFmtId="0" fontId="128" fillId="65" borderId="52" applyNumberFormat="0" applyFont="0" applyAlignment="0" applyProtection="0"/>
    <xf numFmtId="215" fontId="188" fillId="0" borderId="0">
      <alignment horizontal="left"/>
    </xf>
    <xf numFmtId="216" fontId="129" fillId="0" borderId="2" applyFill="0" applyBorder="0">
      <alignment horizontal="center"/>
      <protection locked="0"/>
    </xf>
    <xf numFmtId="0" fontId="147" fillId="64" borderId="53" applyNumberFormat="0" applyAlignment="0" applyProtection="0"/>
    <xf numFmtId="0" fontId="129" fillId="0" borderId="0"/>
    <xf numFmtId="9" fontId="4" fillId="0" borderId="0" applyFont="0" applyFill="0" applyBorder="0" applyAlignment="0" applyProtection="0"/>
    <xf numFmtId="217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9" fillId="0" borderId="54" applyNumberFormat="0" applyFont="0" applyFill="0" applyProtection="0"/>
    <xf numFmtId="165" fontId="129" fillId="0" borderId="0" applyFill="0" applyBorder="0" applyAlignment="0"/>
    <xf numFmtId="182" fontId="129" fillId="0" borderId="0" applyFill="0" applyBorder="0" applyAlignment="0"/>
    <xf numFmtId="165" fontId="129" fillId="0" borderId="0" applyFill="0" applyBorder="0" applyAlignment="0"/>
    <xf numFmtId="183" fontId="4" fillId="0" borderId="0" applyFill="0" applyBorder="0" applyAlignment="0"/>
    <xf numFmtId="182" fontId="129" fillId="0" borderId="0" applyFill="0" applyBorder="0" applyAlignment="0"/>
    <xf numFmtId="171" fontId="189" fillId="0" borderId="0"/>
    <xf numFmtId="0" fontId="66" fillId="0" borderId="0" applyNumberFormat="0" applyFont="0" applyFill="0" applyBorder="0" applyProtection="0"/>
    <xf numFmtId="0" fontId="115" fillId="0" borderId="9">
      <alignment horizontal="center"/>
    </xf>
    <xf numFmtId="0" fontId="66" fillId="76" borderId="0" applyNumberFormat="0" applyFont="0" applyBorder="0" applyAlignment="0" applyProtection="0"/>
    <xf numFmtId="219" fontId="166" fillId="0" borderId="0" applyFill="0" applyBorder="0">
      <alignment horizontal="centerContinuous"/>
      <protection locked="0"/>
    </xf>
    <xf numFmtId="0" fontId="190" fillId="0" borderId="12" applyNumberFormat="0" applyBorder="0">
      <protection locked="0"/>
    </xf>
    <xf numFmtId="0" fontId="170" fillId="0" borderId="0">
      <alignment horizontal="center"/>
      <protection locked="0"/>
    </xf>
    <xf numFmtId="0" fontId="4" fillId="0" borderId="0" applyNumberFormat="0" applyFill="0" applyBorder="0" applyProtection="0"/>
    <xf numFmtId="0" fontId="4" fillId="65" borderId="0" applyNumberFormat="0" applyFont="0" applyBorder="0" applyAlignment="0" applyProtection="0"/>
    <xf numFmtId="0" fontId="4" fillId="73" borderId="0" applyNumberFormat="0" applyFont="0" applyBorder="0" applyAlignment="0" applyProtection="0"/>
    <xf numFmtId="0" fontId="4" fillId="64" borderId="0" applyNumberFormat="0" applyFont="0" applyBorder="0" applyAlignment="0" applyProtection="0"/>
    <xf numFmtId="0" fontId="4" fillId="0" borderId="0" applyNumberFormat="0" applyFont="0" applyFill="0" applyBorder="0" applyAlignment="0" applyProtection="0"/>
    <xf numFmtId="0" fontId="4" fillId="64" borderId="0" applyNumberFormat="0" applyFon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8" fillId="64" borderId="0"/>
    <xf numFmtId="0" fontId="191" fillId="64" borderId="0"/>
    <xf numFmtId="0" fontId="192" fillId="64" borderId="0">
      <alignment vertical="center"/>
    </xf>
    <xf numFmtId="221" fontId="8" fillId="73" borderId="55">
      <protection locked="0"/>
    </xf>
    <xf numFmtId="221" fontId="191" fillId="64" borderId="55"/>
    <xf numFmtId="3" fontId="8" fillId="64" borderId="56"/>
    <xf numFmtId="221" fontId="187" fillId="64" borderId="57"/>
    <xf numFmtId="0" fontId="8" fillId="64" borderId="58">
      <alignment horizontal="right"/>
    </xf>
    <xf numFmtId="0" fontId="191" fillId="64" borderId="58">
      <alignment horizontal="left"/>
    </xf>
    <xf numFmtId="221" fontId="8" fillId="64" borderId="59"/>
    <xf numFmtId="221" fontId="191" fillId="64" borderId="60"/>
    <xf numFmtId="1" fontId="20" fillId="0" borderId="0" applyBorder="0">
      <alignment horizontal="left" vertical="top" wrapText="1"/>
    </xf>
    <xf numFmtId="0" fontId="152" fillId="0" borderId="0"/>
    <xf numFmtId="40" fontId="133" fillId="0" borderId="0" applyBorder="0">
      <alignment horizontal="right"/>
    </xf>
    <xf numFmtId="38" fontId="121" fillId="0" borderId="58" applyBorder="0">
      <alignment horizontal="right"/>
      <protection locked="0"/>
    </xf>
    <xf numFmtId="0" fontId="122" fillId="0" borderId="0" applyNumberFormat="0" applyFont="0" applyFill="0" applyBorder="0"/>
    <xf numFmtId="49" fontId="126" fillId="0" borderId="0" applyFill="0" applyBorder="0" applyAlignment="0"/>
    <xf numFmtId="185" fontId="4" fillId="0" borderId="0" applyFill="0" applyBorder="0" applyAlignment="0"/>
    <xf numFmtId="186" fontId="4" fillId="0" borderId="0" applyFill="0" applyBorder="0" applyAlignment="0"/>
    <xf numFmtId="0" fontId="193" fillId="0" borderId="0">
      <alignment horizontal="center" vertical="top"/>
    </xf>
    <xf numFmtId="0" fontId="72" fillId="0" borderId="0" applyFill="0" applyBorder="0"/>
    <xf numFmtId="0" fontId="148" fillId="0" borderId="0" applyNumberFormat="0" applyFill="0" applyBorder="0" applyAlignment="0" applyProtection="0"/>
    <xf numFmtId="0" fontId="127" fillId="0" borderId="61" applyNumberFormat="0" applyFill="0" applyAlignment="0" applyProtection="0"/>
    <xf numFmtId="215" fontId="188" fillId="0" borderId="0">
      <alignment horizontal="left"/>
    </xf>
    <xf numFmtId="0" fontId="4" fillId="0" borderId="0"/>
    <xf numFmtId="0" fontId="194" fillId="77" borderId="0"/>
    <xf numFmtId="0" fontId="135" fillId="0" borderId="0" applyNumberFormat="0" applyFill="0" applyBorder="0" applyAlignment="0" applyProtection="0"/>
    <xf numFmtId="0" fontId="131" fillId="0" borderId="0" applyNumberFormat="0" applyFont="0" applyFill="0" applyBorder="0" applyProtection="0">
      <alignment horizontal="center" vertical="center" wrapText="1"/>
    </xf>
    <xf numFmtId="0" fontId="129" fillId="0" borderId="0" applyNumberFormat="0" applyFont="0" applyFill="0" applyBorder="0" applyProtection="0">
      <alignment horizontal="center" vertical="top" wrapText="1"/>
    </xf>
    <xf numFmtId="0" fontId="159" fillId="0" borderId="35" applyNumberFormat="0" applyFont="0" applyFill="0" applyBorder="0" applyProtection="0">
      <alignment horizontal="left" vertical="top" wrapText="1"/>
    </xf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38" fillId="64" borderId="44" applyNumberFormat="0" applyAlignment="0" applyProtection="0"/>
    <xf numFmtId="166" fontId="4" fillId="0" borderId="0" applyFont="0" applyFill="0" applyBorder="0" applyAlignment="0" applyProtection="0"/>
    <xf numFmtId="196" fontId="20" fillId="0" borderId="3" applyFill="0" applyProtection="0"/>
    <xf numFmtId="203" fontId="20" fillId="0" borderId="3" applyFill="0" applyProtection="0"/>
    <xf numFmtId="0" fontId="144" fillId="50" borderId="44" applyNumberFormat="0" applyAlignment="0" applyProtection="0"/>
    <xf numFmtId="0" fontId="144" fillId="50" borderId="44" applyNumberFormat="0" applyAlignment="0" applyProtection="0"/>
    <xf numFmtId="0" fontId="144" fillId="50" borderId="44" applyNumberFormat="0" applyAlignment="0" applyProtection="0"/>
    <xf numFmtId="0" fontId="144" fillId="50" borderId="44" applyNumberFormat="0" applyAlignment="0" applyProtection="0"/>
    <xf numFmtId="0" fontId="165" fillId="0" borderId="5">
      <alignment horizontal="center"/>
    </xf>
    <xf numFmtId="166" fontId="4" fillId="0" borderId="0" applyFont="0" applyFill="0" applyBorder="0" applyAlignment="0" applyProtection="0"/>
    <xf numFmtId="0" fontId="128" fillId="65" borderId="52" applyNumberFormat="0" applyFont="0" applyAlignment="0" applyProtection="0"/>
    <xf numFmtId="9" fontId="4" fillId="0" borderId="0" applyFont="0" applyFill="0" applyBorder="0" applyAlignment="0" applyProtection="0"/>
    <xf numFmtId="0" fontId="147" fillId="64" borderId="53" applyNumberFormat="0" applyAlignment="0" applyProtection="0"/>
    <xf numFmtId="9" fontId="4" fillId="0" borderId="0" applyFont="0" applyFill="0" applyBorder="0" applyAlignment="0" applyProtection="0"/>
    <xf numFmtId="221" fontId="8" fillId="73" borderId="55">
      <protection locked="0"/>
    </xf>
    <xf numFmtId="221" fontId="191" fillId="64" borderId="55"/>
    <xf numFmtId="221" fontId="187" fillId="64" borderId="57"/>
    <xf numFmtId="0" fontId="127" fillId="0" borderId="61" applyNumberFormat="0" applyFill="0" applyAlignment="0" applyProtection="0"/>
    <xf numFmtId="166" fontId="4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203" fontId="20" fillId="0" borderId="62" applyFill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9" fillId="0" borderId="54" applyNumberFormat="0" applyFont="0" applyFill="0" applyProtection="0"/>
    <xf numFmtId="17" fontId="83" fillId="28" borderId="64">
      <alignment horizontal="right"/>
      <protection locked="0"/>
    </xf>
    <xf numFmtId="17" fontId="170" fillId="65" borderId="10">
      <alignment horizontal="right"/>
    </xf>
    <xf numFmtId="0" fontId="169" fillId="68" borderId="10" applyNumberFormat="0" applyBorder="0" applyProtection="0"/>
    <xf numFmtId="2" fontId="81" fillId="0" borderId="10">
      <alignment horizontal="center" vertical="center"/>
    </xf>
    <xf numFmtId="0" fontId="9" fillId="0" borderId="10" applyNumberFormat="0" applyFont="0" applyBorder="0" applyAlignment="0">
      <protection locked="0"/>
    </xf>
    <xf numFmtId="203" fontId="20" fillId="0" borderId="7" applyFill="0" applyProtection="0"/>
    <xf numFmtId="38" fontId="5" fillId="24" borderId="10">
      <protection locked="0"/>
    </xf>
    <xf numFmtId="194" fontId="5" fillId="24" borderId="10">
      <protection locked="0"/>
    </xf>
    <xf numFmtId="49" fontId="5" fillId="24" borderId="10">
      <alignment horizontal="left"/>
      <protection locked="0"/>
    </xf>
    <xf numFmtId="38" fontId="5" fillId="0" borderId="10"/>
    <xf numFmtId="38" fontId="9" fillId="0" borderId="10"/>
    <xf numFmtId="194" fontId="5" fillId="0" borderId="10"/>
    <xf numFmtId="40" fontId="5" fillId="0" borderId="10"/>
    <xf numFmtId="0" fontId="9" fillId="0" borderId="10" applyNumberFormat="0">
      <alignment horizontal="center"/>
    </xf>
    <xf numFmtId="38" fontId="9" fillId="25" borderId="10" applyNumberFormat="0" applyFont="0" applyBorder="0" applyAlignment="0">
      <alignment horizontal="center"/>
    </xf>
    <xf numFmtId="0" fontId="5" fillId="0" borderId="10" applyNumberFormat="0"/>
    <xf numFmtId="0" fontId="9" fillId="0" borderId="10" applyNumberFormat="0"/>
    <xf numFmtId="0" fontId="5" fillId="0" borderId="10" applyNumberFormat="0">
      <alignment horizontal="right"/>
    </xf>
    <xf numFmtId="38" fontId="8" fillId="0" borderId="64"/>
    <xf numFmtId="0" fontId="8" fillId="0" borderId="64" applyNumberFormat="0">
      <alignment horizontal="center"/>
    </xf>
    <xf numFmtId="0" fontId="4" fillId="0" borderId="64" applyNumberFormat="0">
      <alignment horizontal="right"/>
    </xf>
    <xf numFmtId="0" fontId="28" fillId="26" borderId="63" applyNumberFormat="0" applyAlignment="0" applyProtection="0"/>
    <xf numFmtId="0" fontId="4" fillId="0" borderId="10" applyNumberFormat="0"/>
    <xf numFmtId="0" fontId="8" fillId="0" borderId="10" applyNumberFormat="0">
      <alignment horizontal="center"/>
    </xf>
    <xf numFmtId="194" fontId="4" fillId="0" borderId="10"/>
    <xf numFmtId="38" fontId="4" fillId="0" borderId="10"/>
    <xf numFmtId="194" fontId="4" fillId="65" borderId="10">
      <protection locked="0"/>
    </xf>
    <xf numFmtId="196" fontId="20" fillId="0" borderId="62" applyFill="0" applyProtection="0"/>
    <xf numFmtId="203" fontId="20" fillId="0" borderId="62" applyFill="0" applyProtection="0"/>
    <xf numFmtId="49" fontId="4" fillId="65" borderId="64">
      <alignment horizontal="left"/>
      <protection locked="0"/>
    </xf>
    <xf numFmtId="221" fontId="108" fillId="23" borderId="30"/>
    <xf numFmtId="221" fontId="9" fillId="36" borderId="28">
      <protection locked="0"/>
    </xf>
    <xf numFmtId="0" fontId="37" fillId="26" borderId="26" applyNumberFormat="0" applyAlignment="0" applyProtection="0"/>
    <xf numFmtId="0" fontId="14" fillId="40" borderId="25" applyNumberFormat="0" applyFon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69" fillId="0" borderId="5">
      <alignment horizontal="center"/>
    </xf>
    <xf numFmtId="0" fontId="1" fillId="0" borderId="0"/>
    <xf numFmtId="0" fontId="33" fillId="0" borderId="21" applyNumberFormat="0" applyFill="0" applyAlignment="0" applyProtection="0"/>
    <xf numFmtId="221" fontId="108" fillId="23" borderId="30"/>
    <xf numFmtId="2" fontId="79" fillId="1" borderId="50">
      <alignment horizontal="left"/>
      <protection locked="0"/>
    </xf>
    <xf numFmtId="221" fontId="119" fillId="23" borderId="28"/>
    <xf numFmtId="0" fontId="82" fillId="32" borderId="10" applyNumberFormat="0" applyBorder="0" applyAlignment="0" applyProtection="0">
      <alignment horizontal="center"/>
    </xf>
    <xf numFmtId="0" fontId="82" fillId="29" borderId="10" applyNumberFormat="0" applyBorder="0" applyAlignment="0" applyProtection="0">
      <alignment horizontal="center"/>
    </xf>
    <xf numFmtId="17" fontId="83" fillId="28" borderId="10">
      <alignment horizontal="right"/>
      <protection locked="0"/>
    </xf>
    <xf numFmtId="17" fontId="83" fillId="28" borderId="10">
      <alignment horizontal="right"/>
    </xf>
    <xf numFmtId="0" fontId="34" fillId="8" borderId="63" applyNumberFormat="0" applyAlignment="0" applyProtection="0"/>
    <xf numFmtId="38" fontId="9" fillId="25" borderId="64" applyNumberFormat="0" applyFont="0" applyBorder="0" applyAlignment="0">
      <alignment horizontal="center"/>
    </xf>
    <xf numFmtId="0" fontId="5" fillId="0" borderId="64" applyNumberFormat="0">
      <alignment horizontal="right"/>
    </xf>
    <xf numFmtId="10" fontId="19" fillId="28" borderId="10" applyNumberFormat="0" applyBorder="0" applyAlignment="0" applyProtection="0"/>
    <xf numFmtId="0" fontId="37" fillId="26" borderId="26" applyNumberFormat="0" applyAlignment="0" applyProtection="0"/>
    <xf numFmtId="0" fontId="14" fillId="40" borderId="25" applyNumberFormat="0" applyFont="0" applyAlignment="0" applyProtection="0"/>
    <xf numFmtId="17" fontId="83" fillId="28" borderId="64">
      <alignment horizontal="right"/>
    </xf>
    <xf numFmtId="0" fontId="5" fillId="0" borderId="9"/>
    <xf numFmtId="10" fontId="19" fillId="28" borderId="10" applyNumberFormat="0" applyBorder="0" applyAlignment="0" applyProtection="0"/>
    <xf numFmtId="0" fontId="34" fillId="8" borderId="14" applyNumberFormat="0" applyAlignment="0" applyProtection="0"/>
    <xf numFmtId="17" fontId="83" fillId="28" borderId="10">
      <alignment horizontal="right"/>
      <protection locked="0"/>
    </xf>
    <xf numFmtId="0" fontId="82" fillId="32" borderId="10" applyNumberFormat="0" applyBorder="0" applyAlignment="0" applyProtection="0">
      <alignment horizontal="center"/>
    </xf>
    <xf numFmtId="2" fontId="81" fillId="0" borderId="10">
      <alignment horizontal="center" vertical="center"/>
    </xf>
    <xf numFmtId="196" fontId="20" fillId="0" borderId="62" applyFill="0" applyProtection="0"/>
    <xf numFmtId="0" fontId="14" fillId="40" borderId="25" applyNumberFormat="0" applyFont="0" applyAlignment="0" applyProtection="0"/>
    <xf numFmtId="0" fontId="37" fillId="26" borderId="26" applyNumberFormat="0" applyAlignment="0" applyProtection="0"/>
    <xf numFmtId="196" fontId="20" fillId="0" borderId="7" applyFill="0" applyProtection="0"/>
    <xf numFmtId="0" fontId="8" fillId="66" borderId="64" applyNumberFormat="0" applyFont="0" applyBorder="0"/>
    <xf numFmtId="1" fontId="56" fillId="0" borderId="27" applyNumberFormat="0" applyFont="0" applyFill="0" applyAlignment="0" applyProtection="0">
      <alignment horizontal="center"/>
    </xf>
    <xf numFmtId="0" fontId="5" fillId="0" borderId="10" applyNumberFormat="0">
      <alignment horizontal="right"/>
    </xf>
    <xf numFmtId="0" fontId="9" fillId="0" borderId="10" applyNumberFormat="0"/>
    <xf numFmtId="0" fontId="5" fillId="0" borderId="10" applyNumberFormat="0"/>
    <xf numFmtId="0" fontId="9" fillId="0" borderId="10" applyNumberFormat="0">
      <alignment horizontal="center"/>
    </xf>
    <xf numFmtId="40" fontId="5" fillId="0" borderId="10"/>
    <xf numFmtId="38" fontId="9" fillId="0" borderId="10"/>
    <xf numFmtId="49" fontId="5" fillId="24" borderId="10">
      <alignment horizontal="left"/>
      <protection locked="0"/>
    </xf>
    <xf numFmtId="194" fontId="5" fillId="24" borderId="10">
      <protection locked="0"/>
    </xf>
    <xf numFmtId="0" fontId="9" fillId="0" borderId="10" applyNumberFormat="0" applyFont="0" applyBorder="0" applyAlignment="0">
      <protection locked="0"/>
    </xf>
    <xf numFmtId="2" fontId="81" fillId="0" borderId="64">
      <alignment horizontal="center" vertical="center"/>
    </xf>
    <xf numFmtId="0" fontId="169" fillId="70" borderId="64" applyNumberFormat="0" applyBorder="0" applyProtection="0"/>
    <xf numFmtId="17" fontId="170" fillId="65" borderId="64">
      <alignment horizontal="right"/>
    </xf>
    <xf numFmtId="221" fontId="9" fillId="36" borderId="28">
      <protection locked="0"/>
    </xf>
    <xf numFmtId="221" fontId="119" fillId="23" borderId="28"/>
    <xf numFmtId="3" fontId="9" fillId="23" borderId="29"/>
    <xf numFmtId="221" fontId="108" fillId="23" borderId="30"/>
    <xf numFmtId="0" fontId="9" fillId="23" borderId="58">
      <alignment horizontal="right"/>
    </xf>
    <xf numFmtId="0" fontId="119" fillId="23" borderId="58">
      <alignment horizontal="left"/>
    </xf>
    <xf numFmtId="0" fontId="4" fillId="0" borderId="9"/>
    <xf numFmtId="0" fontId="13" fillId="0" borderId="33" applyNumberFormat="0" applyFill="0" applyAlignment="0" applyProtection="0"/>
    <xf numFmtId="194" fontId="4" fillId="65" borderId="64">
      <protection locked="0"/>
    </xf>
    <xf numFmtId="38" fontId="4" fillId="0" borderId="64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17" fontId="170" fillId="65" borderId="64">
      <alignment horizontal="right"/>
      <protection locked="0"/>
    </xf>
    <xf numFmtId="0" fontId="28" fillId="26" borderId="63" applyNumberFormat="0" applyAlignment="0" applyProtection="0"/>
    <xf numFmtId="0" fontId="11" fillId="65" borderId="64" applyNumberFormat="0" applyBorder="0" applyAlignment="0" applyProtection="0"/>
    <xf numFmtId="196" fontId="20" fillId="0" borderId="62" applyFill="0" applyProtection="0"/>
    <xf numFmtId="203" fontId="20" fillId="0" borderId="62" applyFill="0" applyProtection="0"/>
    <xf numFmtId="0" fontId="34" fillId="8" borderId="63" applyNumberFormat="0" applyAlignment="0" applyProtection="0"/>
    <xf numFmtId="0" fontId="34" fillId="8" borderId="63" applyNumberFormat="0" applyAlignment="0" applyProtection="0"/>
    <xf numFmtId="0" fontId="34" fillId="8" borderId="63" applyNumberFormat="0" applyAlignment="0" applyProtection="0"/>
    <xf numFmtId="0" fontId="34" fillId="8" borderId="63" applyNumberFormat="0" applyAlignment="0" applyProtection="0"/>
    <xf numFmtId="0" fontId="69" fillId="0" borderId="5">
      <alignment horizontal="center"/>
    </xf>
    <xf numFmtId="0" fontId="14" fillId="40" borderId="25" applyNumberFormat="0" applyFont="0" applyAlignment="0" applyProtection="0"/>
    <xf numFmtId="0" fontId="37" fillId="26" borderId="26" applyNumberFormat="0" applyAlignment="0" applyProtection="0"/>
    <xf numFmtId="221" fontId="9" fillId="36" borderId="28">
      <protection locked="0"/>
    </xf>
    <xf numFmtId="221" fontId="119" fillId="23" borderId="28"/>
    <xf numFmtId="221" fontId="108" fillId="23" borderId="30"/>
    <xf numFmtId="0" fontId="13" fillId="0" borderId="33" applyNumberFormat="0" applyFill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6" fontId="20" fillId="0" borderId="62" applyFill="0" applyProtection="0"/>
    <xf numFmtId="0" fontId="82" fillId="32" borderId="64" applyNumberFormat="0" applyBorder="0" applyAlignment="0" applyProtection="0">
      <alignment horizontal="center"/>
    </xf>
    <xf numFmtId="0" fontId="5" fillId="0" borderId="9"/>
    <xf numFmtId="0" fontId="11" fillId="65" borderId="10" applyNumberFormat="0" applyBorder="0" applyAlignment="0" applyProtection="0"/>
    <xf numFmtId="17" fontId="170" fillId="65" borderId="10">
      <alignment horizontal="right"/>
      <protection locked="0"/>
    </xf>
    <xf numFmtId="0" fontId="169" fillId="70" borderId="10" applyNumberFormat="0" applyBorder="0" applyProtection="0"/>
    <xf numFmtId="196" fontId="20" fillId="0" borderId="7" applyFill="0" applyProtection="0"/>
    <xf numFmtId="0" fontId="4" fillId="0" borderId="64" applyNumberFormat="0"/>
    <xf numFmtId="203" fontId="20" fillId="0" borderId="62" applyFill="0" applyProtection="0"/>
    <xf numFmtId="0" fontId="4" fillId="0" borderId="10" applyNumberFormat="0">
      <alignment horizontal="right"/>
    </xf>
    <xf numFmtId="0" fontId="8" fillId="66" borderId="10" applyNumberFormat="0" applyFont="0" applyBorder="0"/>
    <xf numFmtId="40" fontId="4" fillId="0" borderId="10"/>
    <xf numFmtId="38" fontId="8" fillId="0" borderId="10"/>
    <xf numFmtId="49" fontId="4" fillId="65" borderId="10">
      <alignment horizontal="left"/>
      <protection locked="0"/>
    </xf>
    <xf numFmtId="38" fontId="4" fillId="65" borderId="10">
      <protection locked="0"/>
    </xf>
    <xf numFmtId="0" fontId="8" fillId="0" borderId="10" applyNumberFormat="0" applyFont="0" applyBorder="0" applyAlignment="0">
      <protection locked="0"/>
    </xf>
    <xf numFmtId="196" fontId="20" fillId="0" borderId="62" applyFill="0" applyProtection="0"/>
    <xf numFmtId="203" fontId="20" fillId="0" borderId="62" applyFill="0" applyProtection="0"/>
    <xf numFmtId="38" fontId="4" fillId="65" borderId="64">
      <protection locked="0"/>
    </xf>
    <xf numFmtId="0" fontId="13" fillId="0" borderId="33" applyNumberFormat="0" applyFill="0" applyAlignment="0" applyProtection="0"/>
    <xf numFmtId="221" fontId="119" fillId="23" borderId="28"/>
    <xf numFmtId="0" fontId="34" fillId="8" borderId="14" applyNumberFormat="0" applyAlignment="0" applyProtection="0"/>
    <xf numFmtId="0" fontId="34" fillId="8" borderId="14" applyNumberFormat="0" applyAlignment="0" applyProtection="0"/>
    <xf numFmtId="0" fontId="28" fillId="26" borderId="14" applyNumberFormat="0" applyAlignment="0" applyProtection="0"/>
    <xf numFmtId="0" fontId="13" fillId="0" borderId="33" applyNumberFormat="0" applyFill="0" applyAlignment="0" applyProtection="0"/>
    <xf numFmtId="221" fontId="9" fillId="36" borderId="28">
      <protection locked="0"/>
    </xf>
    <xf numFmtId="0" fontId="9" fillId="0" borderId="64" applyNumberFormat="0" applyFont="0" applyBorder="0" applyAlignment="0">
      <protection locked="0"/>
    </xf>
    <xf numFmtId="38" fontId="5" fillId="24" borderId="64">
      <protection locked="0"/>
    </xf>
    <xf numFmtId="194" fontId="5" fillId="24" borderId="64">
      <protection locked="0"/>
    </xf>
    <xf numFmtId="38" fontId="5" fillId="0" borderId="64"/>
    <xf numFmtId="38" fontId="9" fillId="0" borderId="64"/>
    <xf numFmtId="40" fontId="5" fillId="0" borderId="64"/>
    <xf numFmtId="0" fontId="5" fillId="0" borderId="64" applyNumberFormat="0"/>
    <xf numFmtId="203" fontId="20" fillId="0" borderId="62" applyFill="0" applyProtection="0"/>
    <xf numFmtId="2" fontId="81" fillId="0" borderId="64">
      <alignment horizontal="center" vertical="center"/>
    </xf>
    <xf numFmtId="0" fontId="82" fillId="29" borderId="64" applyNumberFormat="0" applyBorder="0" applyAlignment="0" applyProtection="0">
      <alignment horizontal="center"/>
    </xf>
    <xf numFmtId="10" fontId="19" fillId="28" borderId="64" applyNumberFormat="0" applyBorder="0" applyAlignment="0" applyProtection="0"/>
    <xf numFmtId="17" fontId="83" fillId="28" borderId="10">
      <alignment horizontal="right"/>
    </xf>
    <xf numFmtId="0" fontId="82" fillId="29" borderId="10" applyNumberFormat="0" applyBorder="0" applyAlignment="0" applyProtection="0">
      <alignment horizontal="center"/>
    </xf>
    <xf numFmtId="2" fontId="79" fillId="1" borderId="22">
      <alignment horizontal="left"/>
      <protection locked="0"/>
    </xf>
    <xf numFmtId="0" fontId="3" fillId="0" borderId="0"/>
    <xf numFmtId="203" fontId="20" fillId="0" borderId="7" applyFill="0" applyProtection="0"/>
    <xf numFmtId="194" fontId="4" fillId="0" borderId="64"/>
    <xf numFmtId="0" fontId="8" fillId="0" borderId="64" applyNumberFormat="0"/>
    <xf numFmtId="9" fontId="3" fillId="0" borderId="0" applyFont="0" applyFill="0" applyBorder="0" applyAlignment="0" applyProtection="0"/>
    <xf numFmtId="0" fontId="159" fillId="0" borderId="27" applyNumberFormat="0" applyFont="0" applyFill="0" applyProtection="0"/>
    <xf numFmtId="196" fontId="20" fillId="0" borderId="62" applyFill="0" applyProtection="0"/>
    <xf numFmtId="0" fontId="1" fillId="0" borderId="0"/>
    <xf numFmtId="38" fontId="9" fillId="25" borderId="10" applyNumberFormat="0" applyFont="0" applyBorder="0" applyAlignment="0">
      <alignment horizontal="center"/>
    </xf>
    <xf numFmtId="194" fontId="5" fillId="0" borderId="10"/>
    <xf numFmtId="38" fontId="5" fillId="0" borderId="10"/>
    <xf numFmtId="38" fontId="5" fillId="24" borderId="10">
      <protection locked="0"/>
    </xf>
    <xf numFmtId="43" fontId="2" fillId="0" borderId="0" applyFont="0" applyFill="0" applyBorder="0" applyAlignment="0" applyProtection="0"/>
    <xf numFmtId="0" fontId="169" fillId="68" borderId="64" applyNumberFormat="0" applyBorder="0" applyProtection="0"/>
    <xf numFmtId="40" fontId="4" fillId="0" borderId="64"/>
    <xf numFmtId="0" fontId="1" fillId="0" borderId="0"/>
    <xf numFmtId="0" fontId="3" fillId="0" borderId="0"/>
    <xf numFmtId="0" fontId="28" fillId="26" borderId="14" applyNumberFormat="0" applyAlignment="0" applyProtection="0"/>
    <xf numFmtId="0" fontId="8" fillId="0" borderId="10" applyNumberFormat="0"/>
    <xf numFmtId="196" fontId="20" fillId="0" borderId="62" applyFill="0" applyProtection="0"/>
    <xf numFmtId="203" fontId="20" fillId="0" borderId="62" applyFill="0" applyProtection="0"/>
    <xf numFmtId="0" fontId="9" fillId="0" borderId="64" applyNumberFormat="0"/>
    <xf numFmtId="0" fontId="9" fillId="0" borderId="64" applyNumberFormat="0">
      <alignment horizontal="center"/>
    </xf>
    <xf numFmtId="194" fontId="5" fillId="0" borderId="64"/>
    <xf numFmtId="49" fontId="5" fillId="24" borderId="64">
      <alignment horizontal="left"/>
      <protection locked="0"/>
    </xf>
    <xf numFmtId="43" fontId="2" fillId="0" borderId="0" applyFont="0" applyFill="0" applyBorder="0" applyAlignment="0" applyProtection="0"/>
    <xf numFmtId="0" fontId="10" fillId="0" borderId="46">
      <alignment horizontal="left" vertical="center"/>
    </xf>
    <xf numFmtId="0" fontId="8" fillId="0" borderId="64" applyNumberFormat="0" applyFont="0" applyBorder="0" applyAlignment="0">
      <protection locked="0"/>
    </xf>
    <xf numFmtId="0" fontId="115" fillId="0" borderId="9">
      <alignment horizontal="center"/>
    </xf>
    <xf numFmtId="0" fontId="115" fillId="0" borderId="9">
      <alignment horizontal="center"/>
    </xf>
    <xf numFmtId="0" fontId="1" fillId="0" borderId="0"/>
    <xf numFmtId="196" fontId="20" fillId="0" borderId="62" applyFill="0" applyProtection="0"/>
    <xf numFmtId="203" fontId="20" fillId="0" borderId="62" applyFill="0" applyProtection="0"/>
    <xf numFmtId="0" fontId="1" fillId="0" borderId="0"/>
    <xf numFmtId="0" fontId="2" fillId="0" borderId="0"/>
    <xf numFmtId="2" fontId="79" fillId="1" borderId="75">
      <alignment horizontal="left"/>
      <protection locked="0"/>
    </xf>
    <xf numFmtId="0" fontId="14" fillId="40" borderId="87" applyNumberFormat="0" applyFont="0" applyAlignment="0" applyProtection="0"/>
    <xf numFmtId="0" fontId="14" fillId="40" borderId="76" applyNumberFormat="0" applyFont="0" applyAlignment="0" applyProtection="0"/>
    <xf numFmtId="0" fontId="34" fillId="8" borderId="74" applyNumberFormat="0" applyAlignment="0" applyProtection="0"/>
    <xf numFmtId="0" fontId="14" fillId="40" borderId="76" applyNumberFormat="0" applyFont="0" applyAlignment="0" applyProtection="0"/>
    <xf numFmtId="38" fontId="9" fillId="25" borderId="84" applyNumberFormat="0" applyFont="0" applyBorder="0" applyAlignment="0">
      <alignment horizontal="center"/>
    </xf>
    <xf numFmtId="221" fontId="119" fillId="23" borderId="78"/>
    <xf numFmtId="221" fontId="108" fillId="23" borderId="79"/>
    <xf numFmtId="0" fontId="34" fillId="8" borderId="74" applyNumberFormat="0" applyAlignment="0" applyProtection="0"/>
    <xf numFmtId="0" fontId="14" fillId="40" borderId="76" applyNumberFormat="0" applyFont="0" applyAlignment="0" applyProtection="0"/>
    <xf numFmtId="221" fontId="9" fillId="36" borderId="78">
      <protection locked="0"/>
    </xf>
    <xf numFmtId="49" fontId="4" fillId="65" borderId="84">
      <alignment horizontal="left"/>
      <protection locked="0"/>
    </xf>
    <xf numFmtId="0" fontId="4" fillId="0" borderId="84" applyNumberFormat="0">
      <alignment horizontal="right"/>
    </xf>
    <xf numFmtId="38" fontId="8" fillId="0" borderId="84"/>
    <xf numFmtId="0" fontId="159" fillId="0" borderId="82" applyNumberFormat="0" applyFont="0" applyFill="0" applyProtection="0"/>
    <xf numFmtId="221" fontId="108" fillId="23" borderId="79"/>
    <xf numFmtId="221" fontId="9" fillId="36" borderId="78">
      <protection locked="0"/>
    </xf>
    <xf numFmtId="0" fontId="34" fillId="8" borderId="74" applyNumberFormat="0" applyAlignment="0" applyProtection="0"/>
    <xf numFmtId="0" fontId="34" fillId="8" borderId="74" applyNumberFormat="0" applyAlignment="0" applyProtection="0"/>
    <xf numFmtId="0" fontId="28" fillId="26" borderId="74" applyNumberFormat="0" applyAlignment="0" applyProtection="0"/>
    <xf numFmtId="221" fontId="108" fillId="23" borderId="79"/>
    <xf numFmtId="221" fontId="119" fillId="23" borderId="78"/>
    <xf numFmtId="0" fontId="28" fillId="26" borderId="85" applyNumberFormat="0" applyAlignment="0" applyProtection="0"/>
    <xf numFmtId="0" fontId="14" fillId="40" borderId="76" applyNumberFormat="0" applyFont="0" applyAlignment="0" applyProtection="0"/>
    <xf numFmtId="2" fontId="79" fillId="1" borderId="86">
      <alignment horizontal="left"/>
      <protection locked="0"/>
    </xf>
    <xf numFmtId="0" fontId="14" fillId="40" borderId="87" applyNumberFormat="0" applyFont="0" applyAlignment="0" applyProtection="0"/>
    <xf numFmtId="0" fontId="34" fillId="8" borderId="85" applyNumberFormat="0" applyAlignment="0" applyProtection="0"/>
    <xf numFmtId="0" fontId="14" fillId="40" borderId="65" applyNumberFormat="0" applyFont="0" applyAlignment="0" applyProtection="0"/>
    <xf numFmtId="0" fontId="37" fillId="26" borderId="66" applyNumberFormat="0" applyAlignment="0" applyProtection="0"/>
    <xf numFmtId="1" fontId="56" fillId="0" borderId="54" applyNumberFormat="0" applyFont="0" applyFill="0" applyAlignment="0" applyProtection="0">
      <alignment horizontal="center"/>
    </xf>
    <xf numFmtId="0" fontId="28" fillId="26" borderId="74" applyNumberFormat="0" applyAlignment="0" applyProtection="0"/>
    <xf numFmtId="0" fontId="4" fillId="0" borderId="92" applyNumberFormat="0">
      <alignment horizontal="right"/>
    </xf>
    <xf numFmtId="49" fontId="4" fillId="65" borderId="92">
      <alignment horizontal="left"/>
      <protection locked="0"/>
    </xf>
    <xf numFmtId="0" fontId="14" fillId="40" borderId="87" applyNumberFormat="0" applyFont="0" applyAlignment="0" applyProtection="0"/>
    <xf numFmtId="0" fontId="2" fillId="0" borderId="0"/>
    <xf numFmtId="0" fontId="69" fillId="0" borderId="67">
      <alignment horizontal="center"/>
    </xf>
    <xf numFmtId="0" fontId="2" fillId="0" borderId="0"/>
    <xf numFmtId="0" fontId="37" fillId="26" borderId="88" applyNumberFormat="0" applyAlignment="0" applyProtection="0"/>
    <xf numFmtId="0" fontId="8" fillId="66" borderId="84" applyNumberFormat="0" applyFont="0" applyBorder="0"/>
    <xf numFmtId="0" fontId="37" fillId="26" borderId="77" applyNumberFormat="0" applyAlignment="0" applyProtection="0"/>
    <xf numFmtId="17" fontId="83" fillId="28" borderId="84">
      <alignment horizontal="right"/>
    </xf>
    <xf numFmtId="0" fontId="37" fillId="26" borderId="77" applyNumberFormat="0" applyAlignment="0" applyProtection="0"/>
    <xf numFmtId="0" fontId="5" fillId="0" borderId="84" applyNumberFormat="0">
      <alignment horizontal="right"/>
    </xf>
    <xf numFmtId="0" fontId="34" fillId="8" borderId="74" applyNumberFormat="0" applyAlignment="0" applyProtection="0"/>
    <xf numFmtId="2" fontId="79" fillId="1" borderId="75">
      <alignment horizontal="left"/>
      <protection locked="0"/>
    </xf>
    <xf numFmtId="221" fontId="9" fillId="36" borderId="89">
      <protection locked="0"/>
    </xf>
    <xf numFmtId="0" fontId="34" fillId="8" borderId="74" applyNumberFormat="0" applyAlignment="0" applyProtection="0"/>
    <xf numFmtId="0" fontId="37" fillId="26" borderId="77" applyNumberFormat="0" applyAlignment="0" applyProtection="0"/>
    <xf numFmtId="221" fontId="108" fillId="23" borderId="79"/>
    <xf numFmtId="0" fontId="28" fillId="26" borderId="74" applyNumberFormat="0" applyAlignment="0" applyProtection="0"/>
    <xf numFmtId="0" fontId="8" fillId="0" borderId="84" applyNumberFormat="0">
      <alignment horizontal="center"/>
    </xf>
    <xf numFmtId="17" fontId="83" fillId="28" borderId="84">
      <alignment horizontal="right"/>
      <protection locked="0"/>
    </xf>
    <xf numFmtId="1" fontId="56" fillId="0" borderId="82" applyNumberFormat="0" applyFont="0" applyFill="0" applyAlignment="0" applyProtection="0">
      <alignment horizontal="center"/>
    </xf>
    <xf numFmtId="196" fontId="20" fillId="0" borderId="68" applyFill="0" applyProtection="0"/>
    <xf numFmtId="203" fontId="20" fillId="0" borderId="68" applyFill="0" applyProtection="0"/>
    <xf numFmtId="0" fontId="165" fillId="0" borderId="67">
      <alignment horizontal="center"/>
    </xf>
    <xf numFmtId="0" fontId="74" fillId="0" borderId="69">
      <alignment vertical="center"/>
    </xf>
    <xf numFmtId="0" fontId="10" fillId="0" borderId="8">
      <alignment horizontal="left" vertical="center"/>
    </xf>
    <xf numFmtId="0" fontId="8" fillId="0" borderId="92" applyNumberFormat="0">
      <alignment horizontal="center"/>
    </xf>
    <xf numFmtId="2" fontId="79" fillId="1" borderId="22">
      <alignment horizontal="left"/>
      <protection locked="0"/>
    </xf>
    <xf numFmtId="0" fontId="13" fillId="0" borderId="80" applyNumberFormat="0" applyFill="0" applyAlignment="0" applyProtection="0"/>
    <xf numFmtId="221" fontId="119" fillId="23" borderId="78"/>
    <xf numFmtId="0" fontId="34" fillId="8" borderId="74" applyNumberFormat="0" applyAlignment="0" applyProtection="0"/>
    <xf numFmtId="0" fontId="34" fillId="8" borderId="74" applyNumberFormat="0" applyAlignment="0" applyProtection="0"/>
    <xf numFmtId="221" fontId="9" fillId="36" borderId="78">
      <protection locked="0"/>
    </xf>
    <xf numFmtId="0" fontId="37" fillId="26" borderId="77" applyNumberFormat="0" applyAlignment="0" applyProtection="0"/>
    <xf numFmtId="0" fontId="4" fillId="0" borderId="70"/>
    <xf numFmtId="0" fontId="14" fillId="40" borderId="76" applyNumberFormat="0" applyFont="0" applyAlignment="0" applyProtection="0"/>
    <xf numFmtId="0" fontId="34" fillId="8" borderId="85" applyNumberFormat="0" applyAlignment="0" applyProtection="0"/>
    <xf numFmtId="0" fontId="115" fillId="0" borderId="70">
      <alignment horizontal="center"/>
    </xf>
    <xf numFmtId="38" fontId="8" fillId="0" borderId="92"/>
    <xf numFmtId="221" fontId="9" fillId="36" borderId="89">
      <protection locked="0"/>
    </xf>
    <xf numFmtId="0" fontId="34" fillId="8" borderId="74" applyNumberFormat="0" applyAlignment="0" applyProtection="0"/>
    <xf numFmtId="196" fontId="20" fillId="0" borderId="68" applyFill="0" applyProtection="0"/>
    <xf numFmtId="203" fontId="20" fillId="0" borderId="68" applyFill="0" applyProtection="0"/>
    <xf numFmtId="0" fontId="165" fillId="0" borderId="67">
      <alignment horizontal="center"/>
    </xf>
    <xf numFmtId="2" fontId="79" fillId="1" borderId="75">
      <alignment horizontal="left"/>
      <protection locked="0"/>
    </xf>
    <xf numFmtId="203" fontId="20" fillId="0" borderId="68" applyFill="0" applyProtection="0"/>
    <xf numFmtId="0" fontId="159" fillId="0" borderId="71" applyNumberFormat="0" applyFont="0" applyFill="0" applyProtection="0"/>
    <xf numFmtId="17" fontId="83" fillId="28" borderId="73">
      <alignment horizontal="right"/>
      <protection locked="0"/>
    </xf>
    <xf numFmtId="0" fontId="37" fillId="26" borderId="77" applyNumberFormat="0" applyAlignment="0" applyProtection="0"/>
    <xf numFmtId="38" fontId="8" fillId="0" borderId="73"/>
    <xf numFmtId="0" fontId="8" fillId="0" borderId="73" applyNumberFormat="0">
      <alignment horizontal="center"/>
    </xf>
    <xf numFmtId="0" fontId="4" fillId="0" borderId="73" applyNumberFormat="0">
      <alignment horizontal="right"/>
    </xf>
    <xf numFmtId="0" fontId="28" fillId="26" borderId="14" applyNumberFormat="0" applyAlignment="0" applyProtection="0"/>
    <xf numFmtId="196" fontId="20" fillId="0" borderId="68" applyFill="0" applyProtection="0"/>
    <xf numFmtId="203" fontId="20" fillId="0" borderId="68" applyFill="0" applyProtection="0"/>
    <xf numFmtId="49" fontId="4" fillId="65" borderId="73">
      <alignment horizontal="left"/>
      <protection locked="0"/>
    </xf>
    <xf numFmtId="0" fontId="69" fillId="0" borderId="67">
      <alignment horizontal="center"/>
    </xf>
    <xf numFmtId="17" fontId="83" fillId="28" borderId="92">
      <alignment horizontal="right"/>
      <protection locked="0"/>
    </xf>
    <xf numFmtId="2" fontId="79" fillId="1" borderId="22">
      <alignment horizontal="left"/>
      <protection locked="0"/>
    </xf>
    <xf numFmtId="196" fontId="20" fillId="0" borderId="81" applyFill="0" applyProtection="0"/>
    <xf numFmtId="0" fontId="34" fillId="8" borderId="14" applyNumberFormat="0" applyAlignment="0" applyProtection="0"/>
    <xf numFmtId="38" fontId="9" fillId="25" borderId="73" applyNumberFormat="0" applyFont="0" applyBorder="0" applyAlignment="0">
      <alignment horizontal="center"/>
    </xf>
    <xf numFmtId="0" fontId="5" fillId="0" borderId="73" applyNumberFormat="0">
      <alignment horizontal="right"/>
    </xf>
    <xf numFmtId="0" fontId="13" fillId="0" borderId="80" applyNumberFormat="0" applyFill="0" applyAlignment="0" applyProtection="0"/>
    <xf numFmtId="17" fontId="83" fillId="28" borderId="73">
      <alignment horizontal="right"/>
    </xf>
    <xf numFmtId="0" fontId="5" fillId="0" borderId="70"/>
    <xf numFmtId="196" fontId="20" fillId="0" borderId="68" applyFill="0" applyProtection="0"/>
    <xf numFmtId="0" fontId="8" fillId="66" borderId="73" applyNumberFormat="0" applyFont="0" applyBorder="0"/>
    <xf numFmtId="0" fontId="34" fillId="8" borderId="85" applyNumberFormat="0" applyAlignment="0" applyProtection="0"/>
    <xf numFmtId="2" fontId="81" fillId="0" borderId="73">
      <alignment horizontal="center" vertical="center"/>
    </xf>
    <xf numFmtId="0" fontId="169" fillId="70" borderId="73" applyNumberFormat="0" applyBorder="0" applyProtection="0"/>
    <xf numFmtId="17" fontId="170" fillId="65" borderId="73">
      <alignment horizontal="right"/>
    </xf>
    <xf numFmtId="0" fontId="159" fillId="0" borderId="90" applyNumberFormat="0" applyFont="0" applyFill="0" applyProtection="0"/>
    <xf numFmtId="194" fontId="4" fillId="65" borderId="73">
      <protection locked="0"/>
    </xf>
    <xf numFmtId="38" fontId="4" fillId="0" borderId="73"/>
    <xf numFmtId="0" fontId="10" fillId="0" borderId="72">
      <alignment horizontal="left" vertical="center"/>
    </xf>
    <xf numFmtId="17" fontId="170" fillId="65" borderId="73">
      <alignment horizontal="right"/>
      <protection locked="0"/>
    </xf>
    <xf numFmtId="0" fontId="28" fillId="26" borderId="14" applyNumberFormat="0" applyAlignment="0" applyProtection="0"/>
    <xf numFmtId="0" fontId="11" fillId="65" borderId="73" applyNumberFormat="0" applyBorder="0" applyAlignment="0" applyProtection="0"/>
    <xf numFmtId="196" fontId="20" fillId="0" borderId="68" applyFill="0" applyProtection="0"/>
    <xf numFmtId="203" fontId="20" fillId="0" borderId="68" applyFill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34" fillId="8" borderId="14" applyNumberFormat="0" applyAlignment="0" applyProtection="0"/>
    <xf numFmtId="0" fontId="69" fillId="0" borderId="67">
      <alignment horizontal="center"/>
    </xf>
    <xf numFmtId="221" fontId="119" fillId="23" borderId="89"/>
    <xf numFmtId="196" fontId="20" fillId="0" borderId="68" applyFill="0" applyProtection="0"/>
    <xf numFmtId="0" fontId="82" fillId="32" borderId="73" applyNumberFormat="0" applyBorder="0" applyAlignment="0" applyProtection="0">
      <alignment horizontal="center"/>
    </xf>
    <xf numFmtId="203" fontId="20" fillId="0" borderId="81" applyFill="0" applyProtection="0"/>
    <xf numFmtId="0" fontId="4" fillId="0" borderId="73" applyNumberFormat="0"/>
    <xf numFmtId="203" fontId="20" fillId="0" borderId="68" applyFill="0" applyProtection="0"/>
    <xf numFmtId="196" fontId="20" fillId="0" borderId="68" applyFill="0" applyProtection="0"/>
    <xf numFmtId="203" fontId="20" fillId="0" borderId="68" applyFill="0" applyProtection="0"/>
    <xf numFmtId="38" fontId="4" fillId="65" borderId="73">
      <protection locked="0"/>
    </xf>
    <xf numFmtId="0" fontId="9" fillId="0" borderId="73" applyNumberFormat="0" applyFont="0" applyBorder="0" applyAlignment="0">
      <protection locked="0"/>
    </xf>
    <xf numFmtId="38" fontId="5" fillId="24" borderId="73">
      <protection locked="0"/>
    </xf>
    <xf numFmtId="194" fontId="5" fillId="24" borderId="73">
      <protection locked="0"/>
    </xf>
    <xf numFmtId="38" fontId="5" fillId="0" borderId="73"/>
    <xf numFmtId="38" fontId="9" fillId="0" borderId="73"/>
    <xf numFmtId="40" fontId="5" fillId="0" borderId="73"/>
    <xf numFmtId="0" fontId="5" fillId="0" borderId="73" applyNumberFormat="0"/>
    <xf numFmtId="203" fontId="20" fillId="0" borderId="68" applyFill="0" applyProtection="0"/>
    <xf numFmtId="2" fontId="81" fillId="0" borderId="73">
      <alignment horizontal="center" vertical="center"/>
    </xf>
    <xf numFmtId="0" fontId="82" fillId="29" borderId="73" applyNumberFormat="0" applyBorder="0" applyAlignment="0" applyProtection="0">
      <alignment horizontal="center"/>
    </xf>
    <xf numFmtId="10" fontId="19" fillId="28" borderId="73" applyNumberFormat="0" applyBorder="0" applyAlignment="0" applyProtection="0"/>
    <xf numFmtId="194" fontId="4" fillId="0" borderId="73"/>
    <xf numFmtId="0" fontId="8" fillId="0" borderId="73" applyNumberFormat="0"/>
    <xf numFmtId="0" fontId="159" fillId="0" borderId="54" applyNumberFormat="0" applyFont="0" applyFill="0" applyProtection="0"/>
    <xf numFmtId="196" fontId="20" fillId="0" borderId="68" applyFill="0" applyProtection="0"/>
    <xf numFmtId="0" fontId="169" fillId="68" borderId="73" applyNumberFormat="0" applyBorder="0" applyProtection="0"/>
    <xf numFmtId="40" fontId="4" fillId="0" borderId="73"/>
    <xf numFmtId="196" fontId="20" fillId="0" borderId="68" applyFill="0" applyProtection="0"/>
    <xf numFmtId="203" fontId="20" fillId="0" borderId="68" applyFill="0" applyProtection="0"/>
    <xf numFmtId="0" fontId="9" fillId="0" borderId="73" applyNumberFormat="0"/>
    <xf numFmtId="0" fontId="9" fillId="0" borderId="73" applyNumberFormat="0">
      <alignment horizontal="center"/>
    </xf>
    <xf numFmtId="194" fontId="5" fillId="0" borderId="73"/>
    <xf numFmtId="49" fontId="5" fillId="24" borderId="73">
      <alignment horizontal="left"/>
      <protection locked="0"/>
    </xf>
    <xf numFmtId="0" fontId="10" fillId="0" borderId="72">
      <alignment horizontal="left" vertical="center"/>
    </xf>
    <xf numFmtId="0" fontId="8" fillId="0" borderId="73" applyNumberFormat="0" applyFont="0" applyBorder="0" applyAlignment="0">
      <protection locked="0"/>
    </xf>
    <xf numFmtId="196" fontId="20" fillId="0" borderId="68" applyFill="0" applyProtection="0"/>
    <xf numFmtId="203" fontId="20" fillId="0" borderId="68" applyFill="0" applyProtection="0"/>
    <xf numFmtId="2" fontId="81" fillId="0" borderId="84">
      <alignment horizontal="center" vertical="center"/>
    </xf>
    <xf numFmtId="0" fontId="169" fillId="70" borderId="84" applyNumberFormat="0" applyBorder="0" applyProtection="0"/>
    <xf numFmtId="17" fontId="170" fillId="65" borderId="84">
      <alignment horizontal="right"/>
    </xf>
    <xf numFmtId="221" fontId="9" fillId="36" borderId="78">
      <protection locked="0"/>
    </xf>
    <xf numFmtId="221" fontId="119" fillId="23" borderId="78"/>
    <xf numFmtId="221" fontId="108" fillId="23" borderId="79"/>
    <xf numFmtId="0" fontId="13" fillId="0" borderId="80" applyNumberFormat="0" applyFill="0" applyAlignment="0" applyProtection="0"/>
    <xf numFmtId="194" fontId="4" fillId="65" borderId="84">
      <protection locked="0"/>
    </xf>
    <xf numFmtId="38" fontId="4" fillId="0" borderId="84"/>
    <xf numFmtId="17" fontId="170" fillId="65" borderId="84">
      <alignment horizontal="right"/>
      <protection locked="0"/>
    </xf>
    <xf numFmtId="0" fontId="28" fillId="26" borderId="74" applyNumberFormat="0" applyAlignment="0" applyProtection="0"/>
    <xf numFmtId="0" fontId="11" fillId="65" borderId="84" applyNumberFormat="0" applyBorder="0" applyAlignment="0" applyProtection="0"/>
    <xf numFmtId="0" fontId="34" fillId="8" borderId="74" applyNumberFormat="0" applyAlignment="0" applyProtection="0"/>
    <xf numFmtId="0" fontId="34" fillId="8" borderId="74" applyNumberFormat="0" applyAlignment="0" applyProtection="0"/>
    <xf numFmtId="0" fontId="34" fillId="8" borderId="74" applyNumberFormat="0" applyAlignment="0" applyProtection="0"/>
    <xf numFmtId="0" fontId="34" fillId="8" borderId="74" applyNumberFormat="0" applyAlignment="0" applyProtection="0"/>
    <xf numFmtId="0" fontId="14" fillId="40" borderId="76" applyNumberFormat="0" applyFont="0" applyAlignment="0" applyProtection="0"/>
    <xf numFmtId="0" fontId="37" fillId="26" borderId="77" applyNumberFormat="0" applyAlignment="0" applyProtection="0"/>
    <xf numFmtId="221" fontId="9" fillId="36" borderId="78">
      <protection locked="0"/>
    </xf>
    <xf numFmtId="221" fontId="119" fillId="23" borderId="78"/>
    <xf numFmtId="221" fontId="108" fillId="23" borderId="79"/>
    <xf numFmtId="0" fontId="13" fillId="0" borderId="80" applyNumberFormat="0" applyFill="0" applyAlignment="0" applyProtection="0"/>
    <xf numFmtId="0" fontId="82" fillId="32" borderId="84" applyNumberFormat="0" applyBorder="0" applyAlignment="0" applyProtection="0">
      <alignment horizontal="center"/>
    </xf>
    <xf numFmtId="0" fontId="4" fillId="0" borderId="84" applyNumberFormat="0"/>
    <xf numFmtId="38" fontId="4" fillId="65" borderId="84">
      <protection locked="0"/>
    </xf>
    <xf numFmtId="0" fontId="13" fillId="0" borderId="80" applyNumberFormat="0" applyFill="0" applyAlignment="0" applyProtection="0"/>
    <xf numFmtId="221" fontId="119" fillId="23" borderId="78"/>
    <xf numFmtId="0" fontId="34" fillId="8" borderId="74" applyNumberFormat="0" applyAlignment="0" applyProtection="0"/>
    <xf numFmtId="0" fontId="34" fillId="8" borderId="74" applyNumberFormat="0" applyAlignment="0" applyProtection="0"/>
    <xf numFmtId="0" fontId="28" fillId="26" borderId="74" applyNumberFormat="0" applyAlignment="0" applyProtection="0"/>
    <xf numFmtId="0" fontId="13" fillId="0" borderId="80" applyNumberFormat="0" applyFill="0" applyAlignment="0" applyProtection="0"/>
    <xf numFmtId="221" fontId="9" fillId="36" borderId="78">
      <protection locked="0"/>
    </xf>
    <xf numFmtId="0" fontId="9" fillId="0" borderId="84" applyNumberFormat="0" applyFont="0" applyBorder="0" applyAlignment="0">
      <protection locked="0"/>
    </xf>
    <xf numFmtId="38" fontId="5" fillId="24" borderId="84">
      <protection locked="0"/>
    </xf>
    <xf numFmtId="194" fontId="5" fillId="24" borderId="84">
      <protection locked="0"/>
    </xf>
    <xf numFmtId="38" fontId="5" fillId="0" borderId="84"/>
    <xf numFmtId="38" fontId="9" fillId="0" borderId="84"/>
    <xf numFmtId="40" fontId="5" fillId="0" borderId="84"/>
    <xf numFmtId="0" fontId="5" fillId="0" borderId="84" applyNumberFormat="0"/>
    <xf numFmtId="2" fontId="81" fillId="0" borderId="84">
      <alignment horizontal="center" vertical="center"/>
    </xf>
    <xf numFmtId="0" fontId="82" fillId="29" borderId="84" applyNumberFormat="0" applyBorder="0" applyAlignment="0" applyProtection="0">
      <alignment horizontal="center"/>
    </xf>
    <xf numFmtId="10" fontId="19" fillId="28" borderId="84" applyNumberFormat="0" applyBorder="0" applyAlignment="0" applyProtection="0"/>
    <xf numFmtId="2" fontId="79" fillId="1" borderId="75">
      <alignment horizontal="left"/>
      <protection locked="0"/>
    </xf>
    <xf numFmtId="194" fontId="4" fillId="0" borderId="84"/>
    <xf numFmtId="0" fontId="8" fillId="0" borderId="84" applyNumberFormat="0"/>
    <xf numFmtId="0" fontId="169" fillId="68" borderId="84" applyNumberFormat="0" applyBorder="0" applyProtection="0"/>
    <xf numFmtId="40" fontId="4" fillId="0" borderId="84"/>
    <xf numFmtId="0" fontId="28" fillId="26" borderId="74" applyNumberFormat="0" applyAlignment="0" applyProtection="0"/>
    <xf numFmtId="0" fontId="9" fillId="0" borderId="84" applyNumberFormat="0"/>
    <xf numFmtId="0" fontId="9" fillId="0" borderId="84" applyNumberFormat="0">
      <alignment horizontal="center"/>
    </xf>
    <xf numFmtId="194" fontId="5" fillId="0" borderId="84"/>
    <xf numFmtId="49" fontId="5" fillId="24" borderId="84">
      <alignment horizontal="left"/>
      <protection locked="0"/>
    </xf>
    <xf numFmtId="0" fontId="10" fillId="0" borderId="83">
      <alignment horizontal="left" vertical="center"/>
    </xf>
    <xf numFmtId="0" fontId="8" fillId="0" borderId="84" applyNumberFormat="0" applyFont="0" applyBorder="0" applyAlignment="0">
      <protection locked="0"/>
    </xf>
    <xf numFmtId="221" fontId="119" fillId="23" borderId="89"/>
    <xf numFmtId="38" fontId="9" fillId="25" borderId="92" applyNumberFormat="0" applyFont="0" applyBorder="0" applyAlignment="0">
      <alignment horizontal="center"/>
    </xf>
    <xf numFmtId="0" fontId="5" fillId="0" borderId="92" applyNumberFormat="0">
      <alignment horizontal="right"/>
    </xf>
    <xf numFmtId="0" fontId="14" fillId="40" borderId="87" applyNumberFormat="0" applyFont="0" applyAlignment="0" applyProtection="0"/>
    <xf numFmtId="17" fontId="83" fillId="28" borderId="92">
      <alignment horizontal="right"/>
    </xf>
    <xf numFmtId="0" fontId="14" fillId="40" borderId="87" applyNumberFormat="0" applyFont="0" applyAlignment="0" applyProtection="0"/>
    <xf numFmtId="0" fontId="8" fillId="66" borderId="92" applyNumberFormat="0" applyFont="0" applyBorder="0"/>
    <xf numFmtId="2" fontId="81" fillId="0" borderId="92">
      <alignment horizontal="center" vertical="center"/>
    </xf>
    <xf numFmtId="0" fontId="169" fillId="70" borderId="92" applyNumberFormat="0" applyBorder="0" applyProtection="0"/>
    <xf numFmtId="17" fontId="170" fillId="65" borderId="92">
      <alignment horizontal="right"/>
    </xf>
    <xf numFmtId="221" fontId="9" fillId="36" borderId="89">
      <protection locked="0"/>
    </xf>
    <xf numFmtId="221" fontId="119" fillId="23" borderId="89"/>
    <xf numFmtId="194" fontId="4" fillId="65" borderId="92">
      <protection locked="0"/>
    </xf>
    <xf numFmtId="38" fontId="4" fillId="0" borderId="92"/>
    <xf numFmtId="17" fontId="170" fillId="65" borderId="92">
      <alignment horizontal="right"/>
      <protection locked="0"/>
    </xf>
    <xf numFmtId="0" fontId="11" fillId="65" borderId="92" applyNumberFormat="0" applyBorder="0" applyAlignment="0" applyProtection="0"/>
    <xf numFmtId="0" fontId="14" fillId="40" borderId="87" applyNumberFormat="0" applyFont="0" applyAlignment="0" applyProtection="0"/>
    <xf numFmtId="221" fontId="9" fillId="36" borderId="89">
      <protection locked="0"/>
    </xf>
    <xf numFmtId="221" fontId="119" fillId="23" borderId="89"/>
    <xf numFmtId="0" fontId="82" fillId="32" borderId="92" applyNumberFormat="0" applyBorder="0" applyAlignment="0" applyProtection="0">
      <alignment horizontal="center"/>
    </xf>
    <xf numFmtId="0" fontId="4" fillId="0" borderId="92" applyNumberFormat="0"/>
    <xf numFmtId="38" fontId="4" fillId="65" borderId="92">
      <protection locked="0"/>
    </xf>
    <xf numFmtId="221" fontId="119" fillId="23" borderId="89"/>
    <xf numFmtId="221" fontId="9" fillId="36" borderId="89">
      <protection locked="0"/>
    </xf>
    <xf numFmtId="0" fontId="9" fillId="0" borderId="92" applyNumberFormat="0" applyFont="0" applyBorder="0" applyAlignment="0">
      <protection locked="0"/>
    </xf>
    <xf numFmtId="38" fontId="5" fillId="24" borderId="92">
      <protection locked="0"/>
    </xf>
    <xf numFmtId="194" fontId="5" fillId="24" borderId="92">
      <protection locked="0"/>
    </xf>
    <xf numFmtId="38" fontId="5" fillId="0" borderId="92"/>
    <xf numFmtId="38" fontId="9" fillId="0" borderId="92"/>
    <xf numFmtId="40" fontId="5" fillId="0" borderId="92"/>
    <xf numFmtId="0" fontId="5" fillId="0" borderId="92" applyNumberFormat="0"/>
    <xf numFmtId="2" fontId="81" fillId="0" borderId="92">
      <alignment horizontal="center" vertical="center"/>
    </xf>
    <xf numFmtId="0" fontId="82" fillId="29" borderId="92" applyNumberFormat="0" applyBorder="0" applyAlignment="0" applyProtection="0">
      <alignment horizontal="center"/>
    </xf>
    <xf numFmtId="10" fontId="19" fillId="28" borderId="92" applyNumberFormat="0" applyBorder="0" applyAlignment="0" applyProtection="0"/>
    <xf numFmtId="194" fontId="4" fillId="0" borderId="92"/>
    <xf numFmtId="0" fontId="8" fillId="0" borderId="92" applyNumberFormat="0"/>
    <xf numFmtId="0" fontId="159" fillId="0" borderId="82" applyNumberFormat="0" applyFont="0" applyFill="0" applyProtection="0"/>
    <xf numFmtId="0" fontId="169" fillId="68" borderId="92" applyNumberFormat="0" applyBorder="0" applyProtection="0"/>
    <xf numFmtId="40" fontId="4" fillId="0" borderId="92"/>
    <xf numFmtId="0" fontId="9" fillId="0" borderId="92" applyNumberFormat="0"/>
    <xf numFmtId="0" fontId="9" fillId="0" borderId="92" applyNumberFormat="0">
      <alignment horizontal="center"/>
    </xf>
    <xf numFmtId="194" fontId="5" fillId="0" borderId="92"/>
    <xf numFmtId="49" fontId="5" fillId="24" borderId="92">
      <alignment horizontal="left"/>
      <protection locked="0"/>
    </xf>
    <xf numFmtId="0" fontId="10" fillId="0" borderId="91">
      <alignment horizontal="left" vertical="center"/>
    </xf>
    <xf numFmtId="0" fontId="8" fillId="0" borderId="92" applyNumberFormat="0" applyFont="0" applyBorder="0" applyAlignment="0">
      <protection locked="0"/>
    </xf>
    <xf numFmtId="0" fontId="2" fillId="0" borderId="0"/>
    <xf numFmtId="0" fontId="115" fillId="0" borderId="101">
      <alignment horizontal="center"/>
    </xf>
    <xf numFmtId="43" fontId="3" fillId="0" borderId="0" applyFont="0" applyFill="0" applyBorder="0" applyAlignment="0" applyProtection="0"/>
    <xf numFmtId="0" fontId="2" fillId="0" borderId="0"/>
    <xf numFmtId="0" fontId="28" fillId="26" borderId="94" applyNumberFormat="0" applyAlignment="0" applyProtection="0"/>
    <xf numFmtId="0" fontId="33" fillId="0" borderId="95" applyNumberFormat="0" applyFill="0" applyAlignment="0" applyProtection="0"/>
    <xf numFmtId="2" fontId="79" fillId="1" borderId="96">
      <alignment horizontal="left"/>
      <protection locked="0"/>
    </xf>
    <xf numFmtId="0" fontId="34" fillId="8" borderId="94" applyNumberFormat="0" applyAlignment="0" applyProtection="0"/>
    <xf numFmtId="0" fontId="5" fillId="0" borderId="101"/>
    <xf numFmtId="0" fontId="14" fillId="40" borderId="97" applyNumberFormat="0" applyFont="0" applyAlignment="0" applyProtection="0"/>
    <xf numFmtId="0" fontId="37" fillId="26" borderId="98" applyNumberFormat="0" applyAlignment="0" applyProtection="0"/>
    <xf numFmtId="0" fontId="2" fillId="0" borderId="0"/>
    <xf numFmtId="3" fontId="9" fillId="23" borderId="99"/>
    <xf numFmtId="0" fontId="2" fillId="0" borderId="0"/>
    <xf numFmtId="0" fontId="34" fillId="8" borderId="94" applyNumberFormat="0" applyAlignment="0" applyProtection="0"/>
    <xf numFmtId="0" fontId="34" fillId="8" borderId="94" applyNumberFormat="0" applyAlignment="0" applyProtection="0"/>
    <xf numFmtId="0" fontId="14" fillId="40" borderId="97" applyNumberFormat="0" applyFont="0" applyAlignment="0" applyProtection="0"/>
    <xf numFmtId="221" fontId="9" fillId="36" borderId="100">
      <protection locked="0"/>
    </xf>
    <xf numFmtId="221" fontId="119" fillId="23" borderId="100"/>
  </cellStyleXfs>
  <cellXfs count="89">
    <xf numFmtId="0" fontId="0" fillId="0" borderId="0" xfId="0"/>
    <xf numFmtId="4" fontId="195" fillId="0" borderId="39" xfId="1" applyNumberFormat="1" applyFont="1" applyBorder="1"/>
    <xf numFmtId="4" fontId="196" fillId="0" borderId="39" xfId="1" applyNumberFormat="1" applyFont="1" applyBorder="1"/>
    <xf numFmtId="10" fontId="195" fillId="0" borderId="40" xfId="1" applyNumberFormat="1" applyFont="1" applyBorder="1"/>
    <xf numFmtId="4" fontId="195" fillId="0" borderId="0" xfId="1" applyNumberFormat="1" applyFont="1"/>
    <xf numFmtId="10" fontId="196" fillId="0" borderId="40" xfId="1" applyNumberFormat="1" applyFont="1" applyBorder="1"/>
    <xf numFmtId="4" fontId="196" fillId="0" borderId="0" xfId="1" applyNumberFormat="1" applyFont="1"/>
    <xf numFmtId="0" fontId="196" fillId="0" borderId="0" xfId="1" applyFont="1"/>
    <xf numFmtId="0" fontId="9" fillId="0" borderId="0" xfId="388" applyFont="1"/>
    <xf numFmtId="0" fontId="197" fillId="0" borderId="0" xfId="1" applyFont="1"/>
    <xf numFmtId="0" fontId="198" fillId="0" borderId="0" xfId="0" applyFont="1"/>
    <xf numFmtId="0" fontId="195" fillId="0" borderId="0" xfId="1" applyFont="1"/>
    <xf numFmtId="0" fontId="196" fillId="0" borderId="10" xfId="1" applyFont="1" applyBorder="1"/>
    <xf numFmtId="0" fontId="196" fillId="0" borderId="16" xfId="1" applyFont="1" applyBorder="1"/>
    <xf numFmtId="0" fontId="196" fillId="0" borderId="43" xfId="1" applyFont="1" applyBorder="1"/>
    <xf numFmtId="0" fontId="196" fillId="0" borderId="36" xfId="1" applyFont="1" applyBorder="1"/>
    <xf numFmtId="0" fontId="196" fillId="0" borderId="38" xfId="1" applyFont="1" applyBorder="1"/>
    <xf numFmtId="0" fontId="196" fillId="0" borderId="37" xfId="1" applyFont="1" applyBorder="1"/>
    <xf numFmtId="0" fontId="200" fillId="0" borderId="39" xfId="1" applyFont="1" applyBorder="1" applyAlignment="1">
      <alignment horizontal="center"/>
    </xf>
    <xf numFmtId="0" fontId="200" fillId="0" borderId="40" xfId="1" applyFont="1" applyBorder="1" applyAlignment="1">
      <alignment horizontal="center"/>
    </xf>
    <xf numFmtId="4" fontId="200" fillId="0" borderId="0" xfId="1" applyNumberFormat="1" applyFont="1" applyAlignment="1">
      <alignment horizontal="center"/>
    </xf>
    <xf numFmtId="0" fontId="200" fillId="0" borderId="0" xfId="1" applyFont="1" applyAlignment="1">
      <alignment horizontal="center"/>
    </xf>
    <xf numFmtId="178" fontId="9" fillId="0" borderId="0" xfId="17" applyNumberFormat="1" applyFont="1"/>
    <xf numFmtId="10" fontId="195" fillId="0" borderId="0" xfId="1" applyNumberFormat="1" applyFont="1"/>
    <xf numFmtId="10" fontId="195" fillId="0" borderId="40" xfId="1" applyNumberFormat="1" applyFont="1" applyBorder="1" applyAlignment="1">
      <alignment horizontal="center"/>
    </xf>
    <xf numFmtId="178" fontId="5" fillId="0" borderId="0" xfId="17" applyNumberFormat="1" applyFont="1"/>
    <xf numFmtId="10" fontId="196" fillId="0" borderId="0" xfId="1" applyNumberFormat="1" applyFont="1"/>
    <xf numFmtId="10" fontId="196" fillId="0" borderId="40" xfId="1" applyNumberFormat="1" applyFont="1" applyBorder="1" applyAlignment="1">
      <alignment horizontal="center"/>
    </xf>
    <xf numFmtId="4" fontId="195" fillId="0" borderId="41" xfId="1" applyNumberFormat="1" applyFont="1" applyBorder="1"/>
    <xf numFmtId="10" fontId="195" fillId="0" borderId="42" xfId="1" applyNumberFormat="1" applyFont="1" applyBorder="1" applyAlignment="1">
      <alignment horizontal="center"/>
    </xf>
    <xf numFmtId="10" fontId="195" fillId="0" borderId="42" xfId="1" applyNumberFormat="1" applyFont="1" applyBorder="1"/>
    <xf numFmtId="10" fontId="195" fillId="0" borderId="42" xfId="959" applyNumberFormat="1" applyFont="1" applyBorder="1" applyAlignment="1">
      <alignment horizontal="center"/>
    </xf>
    <xf numFmtId="4" fontId="200" fillId="0" borderId="0" xfId="959" applyNumberFormat="1" applyFont="1" applyAlignment="1">
      <alignment horizontal="center"/>
    </xf>
    <xf numFmtId="4" fontId="195" fillId="0" borderId="0" xfId="959" applyNumberFormat="1" applyFont="1"/>
    <xf numFmtId="4" fontId="195" fillId="0" borderId="39" xfId="959" applyNumberFormat="1" applyFont="1" applyBorder="1" applyAlignment="1">
      <alignment horizontal="right"/>
    </xf>
    <xf numFmtId="10" fontId="196" fillId="0" borderId="40" xfId="959" applyNumberFormat="1" applyFont="1" applyBorder="1" applyAlignment="1">
      <alignment horizontal="center"/>
    </xf>
    <xf numFmtId="4" fontId="196" fillId="0" borderId="39" xfId="959" applyNumberFormat="1" applyFont="1" applyBorder="1" applyAlignment="1">
      <alignment horizontal="right"/>
    </xf>
    <xf numFmtId="0" fontId="200" fillId="0" borderId="0" xfId="959" applyFont="1" applyAlignment="1">
      <alignment horizontal="center"/>
    </xf>
    <xf numFmtId="4" fontId="196" fillId="0" borderId="39" xfId="959" applyNumberFormat="1" applyFont="1" applyBorder="1"/>
    <xf numFmtId="4" fontId="196" fillId="0" borderId="0" xfId="959" applyNumberFormat="1" applyFont="1"/>
    <xf numFmtId="10" fontId="196" fillId="0" borderId="40" xfId="959" applyNumberFormat="1" applyFont="1" applyBorder="1"/>
    <xf numFmtId="10" fontId="196" fillId="0" borderId="0" xfId="959" applyNumberFormat="1" applyFont="1"/>
    <xf numFmtId="10" fontId="195" fillId="0" borderId="42" xfId="959" applyNumberFormat="1" applyFont="1" applyBorder="1"/>
    <xf numFmtId="0" fontId="200" fillId="0" borderId="39" xfId="959" applyFont="1" applyBorder="1" applyAlignment="1">
      <alignment horizontal="center"/>
    </xf>
    <xf numFmtId="4" fontId="195" fillId="0" borderId="39" xfId="959" applyNumberFormat="1" applyFont="1" applyBorder="1"/>
    <xf numFmtId="4" fontId="195" fillId="0" borderId="41" xfId="959" applyNumberFormat="1" applyFont="1" applyBorder="1"/>
    <xf numFmtId="0" fontId="198" fillId="0" borderId="0" xfId="0" applyFont="1" applyAlignment="1">
      <alignment horizontal="right"/>
    </xf>
    <xf numFmtId="10" fontId="195" fillId="0" borderId="40" xfId="959" applyNumberFormat="1" applyFont="1" applyBorder="1"/>
    <xf numFmtId="10" fontId="195" fillId="0" borderId="0" xfId="959" applyNumberFormat="1" applyFont="1"/>
    <xf numFmtId="0" fontId="196" fillId="0" borderId="0" xfId="1" applyFont="1" applyAlignment="1">
      <alignment horizontal="right"/>
    </xf>
    <xf numFmtId="10" fontId="195" fillId="0" borderId="40" xfId="959" applyNumberFormat="1" applyFont="1" applyBorder="1" applyAlignment="1">
      <alignment horizontal="center"/>
    </xf>
    <xf numFmtId="0" fontId="197" fillId="0" borderId="0" xfId="1" applyFont="1" applyAlignment="1">
      <alignment horizontal="right"/>
    </xf>
    <xf numFmtId="4" fontId="195" fillId="0" borderId="41" xfId="959" applyNumberFormat="1" applyFont="1" applyBorder="1" applyAlignment="1">
      <alignment horizontal="right"/>
    </xf>
    <xf numFmtId="0" fontId="200" fillId="0" borderId="40" xfId="959" applyFont="1" applyBorder="1" applyAlignment="1">
      <alignment horizontal="center"/>
    </xf>
    <xf numFmtId="0" fontId="196" fillId="0" borderId="36" xfId="1" applyFont="1" applyBorder="1" applyAlignment="1">
      <alignment horizontal="right"/>
    </xf>
    <xf numFmtId="10" fontId="197" fillId="0" borderId="40" xfId="957" applyNumberFormat="1" applyFont="1" applyBorder="1" applyAlignment="1">
      <alignment horizontal="center"/>
    </xf>
    <xf numFmtId="0" fontId="196" fillId="0" borderId="0" xfId="957" applyFont="1"/>
    <xf numFmtId="0" fontId="197" fillId="0" borderId="0" xfId="957" applyFont="1"/>
    <xf numFmtId="0" fontId="196" fillId="0" borderId="92" xfId="957" applyFont="1" applyBorder="1"/>
    <xf numFmtId="0" fontId="196" fillId="0" borderId="93" xfId="957" applyFont="1" applyBorder="1"/>
    <xf numFmtId="0" fontId="196" fillId="0" borderId="36" xfId="957" applyFont="1" applyBorder="1"/>
    <xf numFmtId="0" fontId="196" fillId="0" borderId="38" xfId="957" applyFont="1" applyBorder="1"/>
    <xf numFmtId="0" fontId="196" fillId="0" borderId="37" xfId="957" applyFont="1" applyBorder="1"/>
    <xf numFmtId="0" fontId="200" fillId="0" borderId="39" xfId="957" applyFont="1" applyBorder="1" applyAlignment="1">
      <alignment horizontal="center"/>
    </xf>
    <xf numFmtId="0" fontId="196" fillId="0" borderId="40" xfId="957" applyFont="1" applyBorder="1"/>
    <xf numFmtId="4" fontId="200" fillId="0" borderId="0" xfId="957" applyNumberFormat="1" applyFont="1" applyAlignment="1">
      <alignment horizontal="center"/>
    </xf>
    <xf numFmtId="0" fontId="200" fillId="0" borderId="40" xfId="957" applyFont="1" applyBorder="1" applyAlignment="1">
      <alignment horizontal="center"/>
    </xf>
    <xf numFmtId="0" fontId="5" fillId="0" borderId="40" xfId="957" applyFont="1" applyBorder="1"/>
    <xf numFmtId="0" fontId="195" fillId="0" borderId="0" xfId="957" applyFont="1"/>
    <xf numFmtId="4" fontId="195" fillId="0" borderId="39" xfId="957" applyNumberFormat="1" applyFont="1" applyBorder="1"/>
    <xf numFmtId="0" fontId="195" fillId="0" borderId="40" xfId="957" applyFont="1" applyBorder="1"/>
    <xf numFmtId="4" fontId="195" fillId="0" borderId="0" xfId="957" applyNumberFormat="1" applyFont="1"/>
    <xf numFmtId="10" fontId="195" fillId="0" borderId="40" xfId="957" applyNumberFormat="1" applyFont="1" applyBorder="1" applyAlignment="1">
      <alignment horizontal="center"/>
    </xf>
    <xf numFmtId="4" fontId="196" fillId="0" borderId="39" xfId="957" applyNumberFormat="1" applyFont="1" applyBorder="1"/>
    <xf numFmtId="4" fontId="196" fillId="0" borderId="0" xfId="957" applyNumberFormat="1" applyFont="1"/>
    <xf numFmtId="10" fontId="196" fillId="0" borderId="40" xfId="957" applyNumberFormat="1" applyFont="1" applyBorder="1" applyAlignment="1">
      <alignment horizontal="center"/>
    </xf>
    <xf numFmtId="4" fontId="195" fillId="0" borderId="41" xfId="957" applyNumberFormat="1" applyFont="1" applyBorder="1"/>
    <xf numFmtId="10" fontId="195" fillId="0" borderId="42" xfId="957" applyNumberFormat="1" applyFont="1" applyBorder="1" applyAlignment="1">
      <alignment horizontal="center"/>
    </xf>
    <xf numFmtId="4" fontId="195" fillId="0" borderId="101" xfId="957" applyNumberFormat="1" applyFont="1" applyBorder="1"/>
    <xf numFmtId="0" fontId="201" fillId="0" borderId="0" xfId="0" applyFont="1"/>
    <xf numFmtId="10" fontId="195" fillId="0" borderId="101" xfId="959" applyNumberFormat="1" applyFont="1" applyBorder="1"/>
    <xf numFmtId="4" fontId="195" fillId="0" borderId="101" xfId="959" applyNumberFormat="1" applyFont="1" applyBorder="1"/>
    <xf numFmtId="10" fontId="195" fillId="0" borderId="101" xfId="1" applyNumberFormat="1" applyFont="1" applyBorder="1"/>
    <xf numFmtId="4" fontId="195" fillId="0" borderId="101" xfId="1" applyNumberFormat="1" applyFont="1" applyBorder="1"/>
    <xf numFmtId="178" fontId="9" fillId="0" borderId="101" xfId="17" applyNumberFormat="1" applyFont="1" applyBorder="1"/>
    <xf numFmtId="0" fontId="5" fillId="0" borderId="0" xfId="17" applyFont="1"/>
    <xf numFmtId="0" fontId="199" fillId="44" borderId="39" xfId="413" applyFont="1" applyFill="1" applyBorder="1" applyAlignment="1">
      <alignment horizontal="center"/>
    </xf>
    <xf numFmtId="0" fontId="199" fillId="44" borderId="40" xfId="413" applyFont="1" applyFill="1" applyBorder="1" applyAlignment="1">
      <alignment horizontal="center"/>
    </xf>
    <xf numFmtId="0" fontId="199" fillId="44" borderId="0" xfId="413" applyFont="1" applyFill="1" applyAlignment="1">
      <alignment horizontal="center"/>
    </xf>
  </cellXfs>
  <cellStyles count="1195">
    <cellStyle name="_x0001_" xfId="19" xr:uid="{C8CC8A33-FE19-4142-8BA6-57478FAC39AD}"/>
    <cellStyle name="_x0001_ 2" xfId="421" xr:uid="{3283E8F2-77ED-42A1-A8D0-FE6487FDC06D}"/>
    <cellStyle name="$0.00" xfId="20" xr:uid="{85C52CC0-C443-4516-8857-B305DBDE8946}"/>
    <cellStyle name="$0.00 2" xfId="422" xr:uid="{3646F0EA-704A-40D6-8115-0EE77A5AB09C}"/>
    <cellStyle name="$0.95" xfId="21" xr:uid="{85B657E5-27F5-4C99-8076-BBC092BB6096}"/>
    <cellStyle name="$0.95 2" xfId="423" xr:uid="{E3A8F51A-C0AE-46F0-81EE-EB87534A87C5}"/>
    <cellStyle name="$0.99" xfId="22" xr:uid="{852FEA19-E8B6-4A74-9FFE-349D91B64710}"/>
    <cellStyle name="$0.99 2" xfId="424" xr:uid="{40C304BE-48CA-4B65-9ADF-318211FAF099}"/>
    <cellStyle name="??_PERSONAL" xfId="23" xr:uid="{0AD6436A-F56A-48C5-8E22-26077C3D5017}"/>
    <cellStyle name="@" xfId="24" xr:uid="{F71E711F-C0D1-43F2-9EB8-C63913213263}"/>
    <cellStyle name="@ 2" xfId="425" xr:uid="{7112AF2C-4014-422A-8028-523D5BDEBE04}"/>
    <cellStyle name="_2000-IAS-KAV" xfId="25" xr:uid="{7033CDD1-0E1B-46FA-BD9B-0423F7B7766B}"/>
    <cellStyle name="_2000-IAS-KAV 2" xfId="426" xr:uid="{8CC8DE12-B75B-4206-AC78-E927896F17E3}"/>
    <cellStyle name="_ANALYSIS-30.06.2005" xfId="26" xr:uid="{498E4A79-24B5-4FC1-BA68-A13CA932F765}"/>
    <cellStyle name="_ANALYSIS-30.06.2005 2" xfId="427" xr:uid="{8CE70BAE-AB15-4513-AE6B-E9D8315D6582}"/>
    <cellStyle name="_Book2" xfId="27" xr:uid="{C3D689A1-D638-491A-93BF-BAC2F00B022C}"/>
    <cellStyle name="_Book2 2" xfId="428" xr:uid="{4AB2F990-11DA-433A-B51F-9098DB4548C3}"/>
    <cellStyle name="_cash&amp;banks(oxford oto)@31.03.2005" xfId="28" xr:uid="{933B7DEC-25A7-4361-9D5D-28A56E9DC10E}"/>
    <cellStyle name="_cash&amp;banks(oxford oto)@31.03.2005 2" xfId="429" xr:uid="{FE9CAD72-8B36-4679-898B-2DD887376633}"/>
    <cellStyle name="_CEHA-IFRS_WTB-0604-revisedTAX" xfId="29" xr:uid="{DCBF1D32-B015-47E8-BF04-5B0C52F62BF4}"/>
    <cellStyle name="_CEHA-IFRS_WTB-0604-revisedTAX 2" xfId="430" xr:uid="{558A51A6-EE23-4BD4-894D-5A9E4D97EC40}"/>
    <cellStyle name="_indices-31.12.2004" xfId="30" xr:uid="{D125FFDC-B9BF-47EF-B521-604B80334B36}"/>
    <cellStyle name="_indices-31.12.2004 2" xfId="431" xr:uid="{E2069BCF-F080-4BB2-A6B9-6BFBEE1D18BD}"/>
    <cellStyle name="_Koç Holding WTB IAS-31.12.2005" xfId="31" xr:uid="{1BB3DF7D-11DF-4B79-8F92-B83E18C6501B}"/>
    <cellStyle name="_Koç Holding WTB IAS-31.12.2005 2" xfId="432" xr:uid="{D8BB8ABA-EFC3-48F5-8B0C-1C28D3DE57C0}"/>
    <cellStyle name="_other assets-amylum@31.12.2004" xfId="32" xr:uid="{5391E5CB-0876-495A-9C5F-E951C91CD62E}"/>
    <cellStyle name="_other assets-amylum@31.12.2004 2" xfId="433" xr:uid="{3F77758E-214E-4B86-BD18-A369803988ED}"/>
    <cellStyle name="_OXFORD-WTB- 2005" xfId="33" xr:uid="{F1A5DB96-C70B-47E4-A115-30AA7CA5FCCA}"/>
    <cellStyle name="_OXFORD-WTB- 2005 2" xfId="434" xr:uid="{DA1D2E98-3F9E-42E7-9551-EDBAF409C7A4}"/>
    <cellStyle name="_SANCAKIAS21" xfId="34" xr:uid="{2364879A-A0F8-45A7-8575-272BE1FB233F}"/>
    <cellStyle name="_SANCAKIAS21 2" xfId="435" xr:uid="{45FFB133-7458-4E7F-A20E-C476687D8108}"/>
    <cellStyle name="_UV-Usas-BRKv4 (ias)" xfId="35" xr:uid="{BCE342AE-E322-499D-8DDD-693DBBD5A80A}"/>
    <cellStyle name="_UV-Usas-BRKv4 (ias) 2" xfId="436" xr:uid="{20CB740E-D96B-42E7-8A42-8DF42DCF0066}"/>
    <cellStyle name="_wtb 30.10.2004" xfId="36" xr:uid="{ED4F53C9-C960-46D1-8165-A5D7FEE423D3}"/>
    <cellStyle name="_wtb 30.10.2004 2" xfId="437" xr:uid="{04109280-BE01-4095-B4AB-0F0643F434CA}"/>
    <cellStyle name="_WTB-31.12.03" xfId="37" xr:uid="{17B87C60-7867-471E-B278-1DD9113CA741}"/>
    <cellStyle name="_WTB-31.12.03 2" xfId="438" xr:uid="{5265FD26-3CD3-40F5-BC71-BA53C9AFE52C}"/>
    <cellStyle name="¤@¯ë_414-05" xfId="39" xr:uid="{0C82A3CD-AC26-4858-BD56-D829495A1FC1}"/>
    <cellStyle name="¤d¤À¦ì[0]_¤u®É²§°Ê©ú²Ó" xfId="40" xr:uid="{71A7F860-7EB0-48E8-B623-248E28F11FD9}"/>
    <cellStyle name="¤d¤À¦ì_¤u®É²§°Ê©ú²Ó" xfId="41" xr:uid="{67E79497-7DE6-49E2-973F-63B6F263BC1E}"/>
    <cellStyle name="=C:\WINDOWS\SYSTEM32\COMMAND.COM" xfId="38" xr:uid="{B8156332-A127-47C7-B5EF-5A6CCD0A023B}"/>
    <cellStyle name="=C:\WINDOWS\SYSTEM32\COMMAND.COM 2" xfId="439" xr:uid="{CB046D21-840F-4B61-9A6E-A9297B860817}"/>
    <cellStyle name="•W€_Door_Con asia" xfId="43" xr:uid="{130424A8-0732-491A-8406-922334AE63A6}"/>
    <cellStyle name="•W_Door_Con asia" xfId="42" xr:uid="{4A5AC5B2-9BFF-41B2-9CC9-20E487AE0212}"/>
    <cellStyle name="0" xfId="44" xr:uid="{CAE6879F-E674-4300-8625-B3F7E2CA5202}"/>
    <cellStyle name="0 2" xfId="440" xr:uid="{EBA162FE-B715-4649-83B2-B894EAD0FBBB}"/>
    <cellStyle name="1" xfId="45" xr:uid="{E9372A9A-42D3-4EF9-AB74-6E21CC9B000C}"/>
    <cellStyle name="1 2" xfId="441" xr:uid="{A4864514-63ED-43EA-A55C-774B0EE23B45}"/>
    <cellStyle name="20% - Accent1 2" xfId="46" xr:uid="{36A8C8E4-1B59-4B38-9657-C96648338B21}"/>
    <cellStyle name="20% - Accent1 2 2" xfId="442" xr:uid="{963297EA-050B-48A6-B200-827139543D8A}"/>
    <cellStyle name="20% - Accent2 2" xfId="47" xr:uid="{2F9F704A-56ED-4A3E-A8B2-CE2FE741262B}"/>
    <cellStyle name="20% - Accent2 2 2" xfId="443" xr:uid="{45C91D23-5050-494D-8892-5DC3C9AAD943}"/>
    <cellStyle name="20% - Accent3 2" xfId="48" xr:uid="{9391E72A-7D4E-4C56-9DF3-D264F98B6C65}"/>
    <cellStyle name="20% - Accent3 2 2" xfId="444" xr:uid="{A53C1F7A-3113-4F7E-8250-AAED19F6BDD7}"/>
    <cellStyle name="20% - Accent4 2" xfId="49" xr:uid="{7AEEE169-A9B2-43B6-A214-B2FF836BA60A}"/>
    <cellStyle name="20% - Accent4 2 2" xfId="445" xr:uid="{A640BAB6-D96F-4138-AA55-D717110CBF64}"/>
    <cellStyle name="20% - Accent5 2" xfId="50" xr:uid="{8FF19EA6-0837-4965-8652-C1C5D633F6A2}"/>
    <cellStyle name="20% - Accent5 2 2" xfId="446" xr:uid="{46E58142-96CD-4B1D-A707-23012CEAF8BA}"/>
    <cellStyle name="20% - Accent6 2" xfId="51" xr:uid="{A06E75CB-0AC9-4DF8-B7A6-B2C92E4AE340}"/>
    <cellStyle name="20% - Accent6 2 2" xfId="447" xr:uid="{1F8AB4BC-36DB-40C4-9ACA-818A013C6EB8}"/>
    <cellStyle name="³f¹ô [0]_laroux" xfId="52" xr:uid="{279C24A4-1BE8-45EF-AEF5-228C7A6E59FD}"/>
    <cellStyle name="³f¹ô[0]_¤u®É²§°Ê©ú²Ó" xfId="53" xr:uid="{FBDE65A8-6B5D-4EF3-A763-1D28A77C80A6}"/>
    <cellStyle name="³f¹ô_¤u®É²§°Ê©ú²Ó" xfId="54" xr:uid="{889F6F49-9AF1-4B5B-A9BB-5D8F8CE82FA3}"/>
    <cellStyle name="40% - Accent1 2" xfId="55" xr:uid="{579152A1-C2DF-46A6-93C5-8E2AD8C481E1}"/>
    <cellStyle name="40% - Accent1 2 2" xfId="448" xr:uid="{CD7C4715-DF3D-4668-B1EB-9146C52D741D}"/>
    <cellStyle name="40% - Accent2 2" xfId="56" xr:uid="{E31E6004-643F-45BA-8886-0B995DE1F400}"/>
    <cellStyle name="40% - Accent2 2 2" xfId="449" xr:uid="{1B8F99CC-4912-49E1-AF60-6F29AB61AF1C}"/>
    <cellStyle name="40% - Accent3 2" xfId="57" xr:uid="{C6DB31F7-C93B-4CF2-B589-D1789C83C142}"/>
    <cellStyle name="40% - Accent3 2 2" xfId="450" xr:uid="{C691BD12-2085-44C2-853F-9EAF4918A8B3}"/>
    <cellStyle name="40% - Accent4 2" xfId="58" xr:uid="{A1FD5776-8BF4-4E37-B157-C97FCAFE427E}"/>
    <cellStyle name="40% - Accent4 2 2" xfId="451" xr:uid="{8200B648-0C82-4EB3-9D12-DB303F155899}"/>
    <cellStyle name="40% - Accent5 2" xfId="59" xr:uid="{17721030-2F5F-4788-9EA3-64068CE9849B}"/>
    <cellStyle name="40% - Accent5 2 2" xfId="452" xr:uid="{ED17454B-454C-4D1C-A65B-F1B40D6C10E3}"/>
    <cellStyle name="40% - Accent6 2" xfId="60" xr:uid="{8EF6055E-6B02-4AA6-830A-BB4B0CC5368D}"/>
    <cellStyle name="40% - Accent6 2 2" xfId="453" xr:uid="{03C7232F-E50C-4501-8B78-04224970ECF9}"/>
    <cellStyle name="60% - Accent1 2" xfId="61" xr:uid="{55D6BBD0-CC8F-4F7F-8F9C-9EAAE441E052}"/>
    <cellStyle name="60% - Accent1 2 2" xfId="454" xr:uid="{BB1BD2DB-A595-46D7-80E2-A60530F0824E}"/>
    <cellStyle name="60% - Accent2 2" xfId="62" xr:uid="{FE966C75-D09B-457E-ABEF-CCC376A30642}"/>
    <cellStyle name="60% - Accent2 2 2" xfId="455" xr:uid="{1A63F44E-ABC4-4A1B-B2E7-D3B44CD2EAA7}"/>
    <cellStyle name="60% - Accent3 2" xfId="63" xr:uid="{2DF5EFBE-723A-4CA2-AEE0-BA5AE0096D6B}"/>
    <cellStyle name="60% - Accent3 2 2" xfId="456" xr:uid="{6BEDA5A7-A3A0-497A-B2FF-E462BFC7BB99}"/>
    <cellStyle name="60% - Accent4 2" xfId="64" xr:uid="{D1656F8A-4150-464B-8F68-5E312DE5A33E}"/>
    <cellStyle name="60% - Accent4 2 2" xfId="457" xr:uid="{4D3BE24E-7441-42BB-952E-705A71E4560C}"/>
    <cellStyle name="60% - Accent5 2" xfId="65" xr:uid="{0392A1B4-8CC8-475D-B9B2-714A38688694}"/>
    <cellStyle name="60% - Accent5 2 2" xfId="458" xr:uid="{9439D4FF-78D8-4FA4-A985-2E5637DB7DE8}"/>
    <cellStyle name="60% - Accent6 2" xfId="66" xr:uid="{77072720-117F-456B-969A-47D75A5631FC}"/>
    <cellStyle name="60% - Accent6 2 2" xfId="459" xr:uid="{10B7A53A-7414-4B20-9013-5E38F7AA56DB}"/>
    <cellStyle name="8 pt" xfId="67" xr:uid="{1CA80E46-1D8D-4CC6-BBF1-10268CF9F7EE}"/>
    <cellStyle name="8 pt 2" xfId="460" xr:uid="{C2AE624D-BBAD-402C-A797-BFBCDE01B81F}"/>
    <cellStyle name="'91225" xfId="68" xr:uid="{6ED62C90-69D2-4818-AB2B-2D7776C580E1}"/>
    <cellStyle name="'91225 2" xfId="461" xr:uid="{F4D4AE53-C237-4AC0-A083-26DFAC208EB0}"/>
    <cellStyle name="Äåíåæíûé [0]_PERSONAL" xfId="69" xr:uid="{D584A991-77AE-4B05-87E1-DACE78FD629D}"/>
    <cellStyle name="Äåíåæíûé_PERSONAL" xfId="70" xr:uid="{E9CA8668-CFE6-435E-9454-DC0CB06FC2B0}"/>
    <cellStyle name="Accent1 2" xfId="71" xr:uid="{8522B371-3512-4DC4-9D39-393956FCE381}"/>
    <cellStyle name="Accent1 2 2" xfId="462" xr:uid="{49EFC279-4CA7-4514-82C8-D19F2821EFBC}"/>
    <cellStyle name="Accent2 2" xfId="72" xr:uid="{7481B615-A05A-4769-BC11-8C2F49E283B5}"/>
    <cellStyle name="Accent2 2 2" xfId="463" xr:uid="{88A8C6A0-9159-4E67-B639-4DCF7DEC6E1F}"/>
    <cellStyle name="Accent3 2" xfId="73" xr:uid="{E1AFF04B-C04F-46EB-BB91-23A48FE9FE69}"/>
    <cellStyle name="Accent3 2 2" xfId="464" xr:uid="{CF36272C-503F-438F-A179-2CDCAEA8AE96}"/>
    <cellStyle name="Accent4 2" xfId="74" xr:uid="{53A57361-4FCC-4378-AB8D-DD8964176057}"/>
    <cellStyle name="Accent4 2 2" xfId="465" xr:uid="{7DF2CE0A-BFD4-476B-8F96-C07AECD02230}"/>
    <cellStyle name="Accent5 2" xfId="75" xr:uid="{80780942-FD0B-4248-81FE-834A922DF151}"/>
    <cellStyle name="Accent5 2 2" xfId="466" xr:uid="{9215213C-211B-4971-AC3E-38A9A2907938}"/>
    <cellStyle name="Accent6 2" xfId="76" xr:uid="{67FDE37E-FEDD-4A66-859B-4FA239BD68FB}"/>
    <cellStyle name="Accent6 2 2" xfId="467" xr:uid="{222CACD2-35C4-4FB8-AD41-5F8B0091D1FB}"/>
    <cellStyle name="ACIKLAMA" xfId="77" xr:uid="{1924A99E-1A0F-4889-A775-0AB046E8090E}"/>
    <cellStyle name="AÇIK" xfId="78" xr:uid="{111838A8-288C-41AE-B4E7-9C576856F6D7}"/>
    <cellStyle name="AÇIK 2" xfId="468" xr:uid="{6F826FD6-DEA9-4A93-AD48-8CD8F4AAB46A}"/>
    <cellStyle name="AÇIK 2 2" xfId="863" xr:uid="{C1CB427F-F4E3-4A7A-B76B-7E167B7D04A9}"/>
    <cellStyle name="AÇIK 2 3" xfId="915" xr:uid="{9446E14B-D0C0-4F30-9074-18FA28B01BE2}"/>
    <cellStyle name="AÇIK 2 3 2" xfId="1074" xr:uid="{1FC1BDC5-1946-4CBB-9C64-4A5938280175}"/>
    <cellStyle name="AÇIK 2 3 3" xfId="1130" xr:uid="{554F99E5-0CC1-47E1-AA1A-0EE4E49AECAC}"/>
    <cellStyle name="AÇIK 2 3 4" xfId="1175" xr:uid="{14939413-A049-4639-87B6-2908A88855A6}"/>
    <cellStyle name="AÇIK 3" xfId="742" xr:uid="{85F0526E-F740-449F-80FF-53F15CB7AE5B}"/>
    <cellStyle name="AÇIK 4" xfId="811" xr:uid="{2D31160C-DF19-4081-955A-D0B8FD13D4B2}"/>
    <cellStyle name="AÇIK 5" xfId="874" xr:uid="{DA16E344-838E-45EA-90D6-D57B37FC7BD2}"/>
    <cellStyle name="AÇIK 5 2" xfId="1050" xr:uid="{40B79D2E-D821-439C-A729-A22632000AEB}"/>
    <cellStyle name="AÇIK 5 3" xfId="1109" xr:uid="{139F870E-0A68-492C-9B2E-B1C741655B68}"/>
    <cellStyle name="AÇIK 5 4" xfId="1155" xr:uid="{153DBC30-73BC-4C31-A055-B22C2EEEF560}"/>
    <cellStyle name="ANormal" xfId="79" xr:uid="{5B538285-9B06-4872-BEE6-79D30ACB1130}"/>
    <cellStyle name="ANormal 2" xfId="469" xr:uid="{6A71353A-BFF1-4CC3-985F-FFFA2EFE28C0}"/>
    <cellStyle name="args.style" xfId="80" xr:uid="{EA54F42F-69CD-467A-8E2C-DD150DAE2D7A}"/>
    <cellStyle name="Arial [WT]" xfId="81" xr:uid="{E9B4A4A7-259F-4AB3-AAA6-F0DCDD55485A}"/>
    <cellStyle name="Arial [WT] 2" xfId="470" xr:uid="{4F4E51CC-366D-446C-9E2D-09AF51FCD541}"/>
    <cellStyle name="ArtNr" xfId="82" xr:uid="{8E292919-1AD6-40D5-8626-179406EDCA61}"/>
    <cellStyle name="ArtNr 2" xfId="471" xr:uid="{77A29E8B-80FB-4F66-BF68-08E26622CF02}"/>
    <cellStyle name="Background" xfId="83" xr:uid="{66DDF9CC-6B21-4C4D-A5A5-34E5BAB3AF14}"/>
    <cellStyle name="Background 2" xfId="472" xr:uid="{16647151-2A49-4056-9A1B-952732CCEDE0}"/>
    <cellStyle name="Bad 2" xfId="84" xr:uid="{74448EF9-7A0E-498E-877A-EC41EFE5AB6A}"/>
    <cellStyle name="Bad 2 2" xfId="473" xr:uid="{95A6C20D-9918-4E9F-B65A-AFEE22B8F350}"/>
    <cellStyle name="BASLIK" xfId="85" xr:uid="{FCD573B1-EAC7-41F8-9E43-0CC858A165C5}"/>
    <cellStyle name="BASLIK 2" xfId="474" xr:uid="{C1FB0DE9-14FC-4D1F-A4D0-3F9DA338E241}"/>
    <cellStyle name="BASLIKl" xfId="86" xr:uid="{E9313775-153D-4B13-B163-C17F96FB433C}"/>
    <cellStyle name="BASLIKl 2" xfId="475" xr:uid="{39A7D6D4-60EE-4646-AF8F-56E7C33F0B3E}"/>
    <cellStyle name="Black" xfId="87" xr:uid="{2B8FB793-557F-4CE6-B492-E1800CB62860}"/>
    <cellStyle name="Black 2" xfId="476" xr:uid="{313BFA6B-4D91-45F4-909B-8E732FDF9ED5}"/>
    <cellStyle name="Blue" xfId="88" xr:uid="{C398F6D2-ABEA-4C29-B991-C25015946391}"/>
    <cellStyle name="Blue 2" xfId="477" xr:uid="{BDA4AACD-3337-41A0-A22C-97D87D67DEEB}"/>
    <cellStyle name="BMU001" xfId="89" xr:uid="{37DF5EF2-5314-4E1E-81EE-16D6292FC4EB}"/>
    <cellStyle name="BMU001 2" xfId="478" xr:uid="{79DC19CA-C01A-4BC3-BD77-82B6AFACE341}"/>
    <cellStyle name="BMU001 2 2" xfId="862" xr:uid="{24DA6DD1-95CA-4BE9-8C12-DDA4B85FACCD}"/>
    <cellStyle name="BMU001 2 3" xfId="866" xr:uid="{72A13E2E-EB1C-4804-9F32-9372068EE2E6}"/>
    <cellStyle name="BMU001 2 3 2" xfId="1049" xr:uid="{8AFF9BEC-C00A-4531-904D-FC10724745AF}"/>
    <cellStyle name="BMU001 2 3 3" xfId="1101" xr:uid="{B8534863-A0CA-4168-AED6-0272ECF1EDFC}"/>
    <cellStyle name="BMU001 2 3 4" xfId="1152" xr:uid="{DA96DBF9-6166-4E34-8FAE-057F09459ADD}"/>
    <cellStyle name="BMU001 3" xfId="744" xr:uid="{1C919DE7-D76D-4D16-B74D-18A28CFB2AAC}"/>
    <cellStyle name="BMU001 4" xfId="899" xr:uid="{0E5C5B47-641F-4242-8C54-FD3ECAC9E6EC}"/>
    <cellStyle name="BMU001 5" xfId="875" xr:uid="{8C224629-EF2F-4182-9BF9-77D0144FA4F1}"/>
    <cellStyle name="BMU001 5 2" xfId="1051" xr:uid="{B51A9D43-400D-4686-8190-C23DF33BBE14}"/>
    <cellStyle name="BMU001 5 3" xfId="1110" xr:uid="{768F549F-19C1-4B45-AA67-D898D1D63097}"/>
    <cellStyle name="BMU001 5 4" xfId="1156" xr:uid="{AD4D141E-7D5E-46BF-B2E9-6875315037CA}"/>
    <cellStyle name="BMU001pol" xfId="90" xr:uid="{C317211C-D814-4CD1-BAE4-FF42907DAB90}"/>
    <cellStyle name="BMU001pol 2" xfId="479" xr:uid="{A497143F-9408-4D0C-96AD-76A79B8A8A00}"/>
    <cellStyle name="BMU001pol 2 2" xfId="764" xr:uid="{B523C346-B07A-4912-8D4A-1827693451FF}"/>
    <cellStyle name="BMU001pol 2 3" xfId="823" xr:uid="{A2B02962-81AF-4288-874C-241C28D1F3CF}"/>
    <cellStyle name="BMU001pol 2 3 2" xfId="1028" xr:uid="{678768EF-05F2-48E1-87D8-EF7AB099FBC4}"/>
    <cellStyle name="BMU001pol 2 3 3" xfId="1084" xr:uid="{1591BF89-F229-4F6E-91B2-DBA77C181912}"/>
    <cellStyle name="BMU001pol 2 3 4" xfId="1143" xr:uid="{FF4E2A5F-F68D-40E0-89A7-0CAAB84D4FFB}"/>
    <cellStyle name="BMU001pol 3" xfId="745" xr:uid="{9C0E9C2A-2977-4A2A-ABC2-70B7ED64DB46}"/>
    <cellStyle name="BMU001pol 4" xfId="810" xr:uid="{27318001-64E2-45CF-BD91-DE476E0226B6}"/>
    <cellStyle name="BMU001pol 5" xfId="876" xr:uid="{E172C3E7-DD32-4E64-B7B7-174E604AD6AD}"/>
    <cellStyle name="BMU001pol 5 2" xfId="1052" xr:uid="{25E0889B-4846-45CA-9C95-4D054051BA03}"/>
    <cellStyle name="BMU001pol 5 3" xfId="1111" xr:uid="{138920BD-CD45-46FC-99C0-B2A6CB4C4B96}"/>
    <cellStyle name="BMU001pol 5 4" xfId="1157" xr:uid="{DB07E70A-5D9F-489E-ACA3-D700CF950A02}"/>
    <cellStyle name="BMU001T" xfId="91" xr:uid="{38953093-873D-403B-99F9-F0F416E3EA9E}"/>
    <cellStyle name="BMU001T 2" xfId="480" xr:uid="{3095B635-86E4-4BA2-B3C9-4D6C7782D9D7}"/>
    <cellStyle name="BMU001T 2 2" xfId="861" xr:uid="{A7673501-A84C-4C35-9174-C937B7200760}"/>
    <cellStyle name="BMU001T 2 3" xfId="767" xr:uid="{A8F0E91F-4361-4A13-B69C-C9FB6A80AD1D}"/>
    <cellStyle name="BMU001T 2 3 2" xfId="1010" xr:uid="{0A75747F-838C-45C8-9612-48ABE1F9B674}"/>
    <cellStyle name="BMU001T 2 3 3" xfId="934" xr:uid="{A3EE0CF3-3754-47FC-B3AD-A35E417CC2EC}"/>
    <cellStyle name="BMU001T 2 3 4" xfId="955" xr:uid="{1EF343E6-147C-416A-8FB5-868A52A48A46}"/>
    <cellStyle name="BMU001T 3" xfId="746" xr:uid="{3389EA90-6CB9-4F8D-AFA1-B9A8024D83C5}"/>
    <cellStyle name="BMU001T 4" xfId="809" xr:uid="{128B29CE-8C46-47F0-A3CC-05F7268CD821}"/>
    <cellStyle name="BMU001T 5" xfId="912" xr:uid="{3FE20FC1-CFF7-4793-B4BE-FBAB8F8ECE21}"/>
    <cellStyle name="BMU001T 5 2" xfId="1072" xr:uid="{3039CA24-E47B-4F10-8F51-0450D494A19E}"/>
    <cellStyle name="BMU001T 5 3" xfId="1128" xr:uid="{56635A1E-638D-4140-A8BC-EB5D70F07915}"/>
    <cellStyle name="BMU001T 5 4" xfId="1173" xr:uid="{4D6ACFE9-EFD7-4D70-A7C1-A6618AE3EC84}"/>
    <cellStyle name="BMU002" xfId="92" xr:uid="{DCB3DB35-5D75-48FD-82DF-B3895640B1A3}"/>
    <cellStyle name="BMU002 2" xfId="481" xr:uid="{8552933E-79DE-44CF-8407-5D1B5583D2E5}"/>
    <cellStyle name="BMU002 2 2" xfId="763" xr:uid="{A18B7864-0FC7-4BFD-B929-9787FC8C69AC}"/>
    <cellStyle name="BMU002 2 3" xfId="824" xr:uid="{DD46575B-96DB-4F2E-B5A7-69657C52877D}"/>
    <cellStyle name="BMU002 2 3 2" xfId="1029" xr:uid="{289C0DD8-356A-4FF2-80C0-BEDF4AB92504}"/>
    <cellStyle name="BMU002 2 3 3" xfId="1085" xr:uid="{A9117B4E-2311-4F9E-9993-15D2A2EE7AA4}"/>
    <cellStyle name="BMU002 2 3 4" xfId="1144" xr:uid="{4C1AB2D6-C792-427F-96C0-6110C42610A2}"/>
    <cellStyle name="BMU002 3" xfId="747" xr:uid="{0125DCAE-6239-4B8D-9944-07B9DCA0E409}"/>
    <cellStyle name="BMU002 4" xfId="898" xr:uid="{2D075784-A2B7-43C7-863E-9396AA7FCDE3}"/>
    <cellStyle name="BMU002 5" xfId="877" xr:uid="{F5C5464D-58B4-4FF6-975C-FD8F6DE160C8}"/>
    <cellStyle name="BMU002 5 2" xfId="1053" xr:uid="{1821AB3C-4FED-4315-90EC-1184BCDA8683}"/>
    <cellStyle name="BMU002 5 3" xfId="1112" xr:uid="{2CA2E949-322C-4781-83C0-E9006CACBD06}"/>
    <cellStyle name="BMU002 5 4" xfId="1158" xr:uid="{92C095CF-6B12-47F8-99C3-1409E30EF61F}"/>
    <cellStyle name="BMU002B" xfId="93" xr:uid="{7A3D7D94-5179-4C74-9D9C-1BC980F3C3B7}"/>
    <cellStyle name="BMU002B 2" xfId="482" xr:uid="{097592CF-45FC-4BCB-8B12-F0FEDD21FEF0}"/>
    <cellStyle name="BMU002B 2 2" xfId="860" xr:uid="{69A5CD3E-2C51-401A-A5BC-671B28625ABD}"/>
    <cellStyle name="BMU002B 2 3" xfId="756" xr:uid="{F34A08BE-6091-4F84-B1A0-4DE6E7CAB039}"/>
    <cellStyle name="BMU002B 2 3 2" xfId="1004" xr:uid="{B47E09B4-CADD-4EED-833F-71D51F02F080}"/>
    <cellStyle name="BMU002B 2 3 3" xfId="936" xr:uid="{5F82FEB7-CB56-430F-A990-94C514AEDA25}"/>
    <cellStyle name="BMU002B 2 3 4" xfId="993" xr:uid="{2CB15933-2ECC-4830-9075-57D1D81F22DF}"/>
    <cellStyle name="BMU002B 3" xfId="748" xr:uid="{89EE5D88-8207-42AE-B525-1CBA75972FC5}"/>
    <cellStyle name="BMU002B 4" xfId="808" xr:uid="{87BC24E4-62AC-452A-B562-FC857DCCCAA7}"/>
    <cellStyle name="BMU002B 5" xfId="878" xr:uid="{D4E12960-312D-403C-BB7F-32AA252E26A5}"/>
    <cellStyle name="BMU002B 5 2" xfId="1054" xr:uid="{23A07142-E5DD-46BB-B8AC-2BEF057D717F}"/>
    <cellStyle name="BMU002B 5 3" xfId="1113" xr:uid="{D12E4DCA-1A92-4545-922D-33AA2A4FA4C9}"/>
    <cellStyle name="BMU002B 5 4" xfId="1159" xr:uid="{85FCE7B7-F561-4570-872C-1F734A1B807D}"/>
    <cellStyle name="BMU002P1" xfId="94" xr:uid="{B765D55D-4557-4BCC-804A-0946EB0D65B0}"/>
    <cellStyle name="BMU002P1 2" xfId="483" xr:uid="{3DD3884C-ED5A-4FA4-86B1-C12184DC298B}"/>
    <cellStyle name="BMU002P1 2 2" xfId="762" xr:uid="{ABDA2F57-CDCE-4129-9D86-E82A85C43A6C}"/>
    <cellStyle name="BMU002P1 2 3" xfId="890" xr:uid="{D06356C2-5D7E-4940-B47A-FDB7E3BDFF41}"/>
    <cellStyle name="BMU002P1 2 3 2" xfId="1061" xr:uid="{12020E08-9502-4074-A4FD-AEE4B26EB8F1}"/>
    <cellStyle name="BMU002P1 2 3 3" xfId="1120" xr:uid="{B791AEC3-9974-4979-A272-BB345A5A4D81}"/>
    <cellStyle name="BMU002P1 2 3 4" xfId="1165" xr:uid="{946AE492-750A-4ACF-8E93-86887CD97136}"/>
    <cellStyle name="BMU002P1 3" xfId="749" xr:uid="{1C09B017-097B-41D5-84B7-7BC3807BF61F}"/>
    <cellStyle name="BMU002P1 4" xfId="897" xr:uid="{DF81CC87-B260-454F-8B55-3E966092680E}"/>
    <cellStyle name="BMU002P1 5" xfId="911" xr:uid="{AB11FBBE-E5AB-4653-BE90-69CF36657D58}"/>
    <cellStyle name="BMU002P1 5 2" xfId="1071" xr:uid="{B3B55452-ED0A-4015-B7A6-D21E75360D3D}"/>
    <cellStyle name="BMU002P1 5 3" xfId="1127" xr:uid="{DCCEF1D1-AA20-4F4F-A188-A94A15D5224B}"/>
    <cellStyle name="BMU002P1 5 4" xfId="1172" xr:uid="{E9E04D9A-AFAB-4BF9-AD79-E01F9ED7D09D}"/>
    <cellStyle name="BMU002P2" xfId="95" xr:uid="{1293E863-9110-4B39-80E6-E775FE8C5965}"/>
    <cellStyle name="BMU002P2 2" xfId="484" xr:uid="{B9FE931F-2710-4D77-8898-9A9BB5E3F2FD}"/>
    <cellStyle name="BMU002P2 2 2" xfId="859" xr:uid="{5CBC3199-E5B8-46A3-BEFF-49FA40E7912E}"/>
    <cellStyle name="BMU002P2 2 3" xfId="902" xr:uid="{433DFE2E-3D67-42F1-AF1C-61F2BEE36266}"/>
    <cellStyle name="BMU002P2 2 3 2" xfId="1066" xr:uid="{7EBF5381-5E54-46F0-BD38-C35825E5E9C9}"/>
    <cellStyle name="BMU002P2 2 3 3" xfId="1123" xr:uid="{AD3E3630-A135-4FF0-A039-9F901CB46183}"/>
    <cellStyle name="BMU002P2 2 3 4" xfId="1169" xr:uid="{91DB6B89-3DF2-426D-B70D-3ABC0DE419CA}"/>
    <cellStyle name="BMU002P2 3" xfId="750" xr:uid="{4AEC698A-1B0C-4891-BB08-C0601ADE2915}"/>
    <cellStyle name="BMU002P2 4" xfId="807" xr:uid="{42A628D3-4D45-4363-A7D6-B149FAD9955F}"/>
    <cellStyle name="BMU002P2 5" xfId="879" xr:uid="{1064E934-0E88-4EFE-B680-6FF9CEEEF846}"/>
    <cellStyle name="BMU002P2 5 2" xfId="1055" xr:uid="{CB157634-688B-463D-A2C2-EB051C6F4B19}"/>
    <cellStyle name="BMU002P2 5 3" xfId="1114" xr:uid="{476C12AB-61EC-49C0-BA04-0DB404AA5C8B}"/>
    <cellStyle name="BMU002P2 5 4" xfId="1160" xr:uid="{DE29E891-4F93-4054-A168-FB12B97D22DA}"/>
    <cellStyle name="BMU003" xfId="96" xr:uid="{615D1524-4D86-4FFF-99BF-02B65C411913}"/>
    <cellStyle name="BMU003 2" xfId="485" xr:uid="{9B1647F3-23FA-413A-BD1F-A5E1EF8C038D}"/>
    <cellStyle name="BMU003 2 2" xfId="761" xr:uid="{2989969F-B10C-4C4C-A456-EDD0E26BBD69}"/>
    <cellStyle name="BMU003 2 3" xfId="757" xr:uid="{995DAD9D-8547-48C8-BBC8-08FB18DE2739}"/>
    <cellStyle name="BMU003 2 3 2" xfId="1005" xr:uid="{74DB7F7A-1012-4A0B-A5A5-7E20AD77865A}"/>
    <cellStyle name="BMU003 2 3 3" xfId="973" xr:uid="{E4CD8EA8-29F2-4374-9CBD-E2DDA0ABF800}"/>
    <cellStyle name="BMU003 2 3 4" xfId="981" xr:uid="{70FB0DF8-F0D8-47EB-9F9D-DA7291B7EE97}"/>
    <cellStyle name="BMU003 3" xfId="751" xr:uid="{34E9E19A-058D-4A08-9E2E-E40257BE695D}"/>
    <cellStyle name="BMU003 4" xfId="806" xr:uid="{3C23F94B-EFA5-4A39-A595-29BE8BC2810E}"/>
    <cellStyle name="BMU003 5" xfId="910" xr:uid="{C71D06F2-DBDF-45D5-97CA-23E4D1476A23}"/>
    <cellStyle name="BMU003 5 2" xfId="1070" xr:uid="{A2D7A898-CED5-4A46-B678-E6071A5AE1AC}"/>
    <cellStyle name="BMU003 5 3" xfId="1126" xr:uid="{7D0F1B63-5A80-4529-8DF5-4CD0F345D73A}"/>
    <cellStyle name="BMU003 5 4" xfId="1171" xr:uid="{BEA1D4A9-E0B3-422F-AEA7-1F0FF810DE2C}"/>
    <cellStyle name="BMU004" xfId="97" xr:uid="{3C4EAA38-BB14-4135-8E10-B481C6419E70}"/>
    <cellStyle name="BMU004 2" xfId="486" xr:uid="{D54FCC83-E37D-4529-AA38-0410CC6E9695}"/>
    <cellStyle name="BMU004 2 2" xfId="858" xr:uid="{138D1635-F5A6-4B26-9BCD-689E38736395}"/>
    <cellStyle name="BMU004 2 3" xfId="801" xr:uid="{76C44B9E-A9E1-42A9-93ED-E4701E39F724}"/>
    <cellStyle name="BMU004 2 3 2" xfId="1022" xr:uid="{0A2EE413-CCDE-4B28-84C3-0129430C7B33}"/>
    <cellStyle name="BMU004 2 3 3" xfId="961" xr:uid="{B2534E14-E33F-4484-9BA0-AE61662FC8B6}"/>
    <cellStyle name="BMU004 2 3 4" xfId="1137" xr:uid="{10202750-92CD-4213-A94B-A5A84735225F}"/>
    <cellStyle name="BMU004 3" xfId="752" xr:uid="{2EA5CADC-9736-42F0-A684-85C145827FBE}"/>
    <cellStyle name="BMU004 4" xfId="896" xr:uid="{45086A8B-E393-4BA8-80BA-976738DC37A7}"/>
    <cellStyle name="BMU004 5" xfId="785" xr:uid="{1AEBCA25-39AD-4403-82FB-9C580491F711}"/>
    <cellStyle name="BMU004 5 2" xfId="1016" xr:uid="{E1056167-28B5-40BE-B243-DA3003EBA11B}"/>
    <cellStyle name="BMU004 5 3" xfId="928" xr:uid="{114548EE-2939-4564-8B6A-B69D870D804D}"/>
    <cellStyle name="BMU004 5 4" xfId="1132" xr:uid="{9DA99732-6710-45DF-A095-3BFA744D4B9D}"/>
    <cellStyle name="BMU005" xfId="98" xr:uid="{258180E7-CD38-4153-A6AC-86AC6F2282A3}"/>
    <cellStyle name="BMU005 2" xfId="487" xr:uid="{1BC3D8BF-7E2E-400E-B70A-057D672FD860}"/>
    <cellStyle name="BMU005 2 2" xfId="760" xr:uid="{AEFEEBBD-41F1-4DC2-B36B-C74B6B995958}"/>
    <cellStyle name="BMU005 2 3" xfId="855" xr:uid="{F8495B72-588D-4100-8F28-7D7463EF134C}"/>
    <cellStyle name="BMU005 2 3 2" xfId="1045" xr:uid="{8681ADCD-06AA-4E95-99E5-13F7AB6CCC53}"/>
    <cellStyle name="BMU005 2 3 3" xfId="1100" xr:uid="{95F224A1-9DA9-4485-9FB7-55D0967C8E7A}"/>
    <cellStyle name="BMU005 2 3 4" xfId="1151" xr:uid="{EAECF28D-DB3C-4295-B097-7A060E239997}"/>
    <cellStyle name="BMU005 3" xfId="753" xr:uid="{2D82B3D5-96AD-4BF2-8CE9-596CFF9B752C}"/>
    <cellStyle name="BMU005 4" xfId="805" xr:uid="{316D9D47-0AD5-4D89-9B7D-EB2ACE82D0B3}"/>
    <cellStyle name="BMU005 5" xfId="880" xr:uid="{A351F6E8-3EBE-4945-9EFF-9BB0331E0727}"/>
    <cellStyle name="BMU005 5 2" xfId="1056" xr:uid="{39C43837-6EA5-4E3E-A810-7085CAFB57C1}"/>
    <cellStyle name="BMU005 5 3" xfId="1115" xr:uid="{CF044254-A5FC-4CE0-8625-C20F65ADC1C8}"/>
    <cellStyle name="BMU005 5 4" xfId="1161" xr:uid="{2768CDEC-CED9-44E0-B7F8-1B103C3BB84F}"/>
    <cellStyle name="BMU005B" xfId="99" xr:uid="{13799973-3439-4084-A17A-40694C1879FA}"/>
    <cellStyle name="BMU005B 2" xfId="488" xr:uid="{F7D5F126-9612-476B-A4B8-B0068D1B87E9}"/>
    <cellStyle name="BMU005B 2 2" xfId="906" xr:uid="{B59BBF90-52AB-4484-8485-C05ED24F07F6}"/>
    <cellStyle name="BMU005B 2 3" xfId="891" xr:uid="{82E31E32-43D2-42D4-AE89-6327EA6412EE}"/>
    <cellStyle name="BMU005B 2 3 2" xfId="1062" xr:uid="{713C6ACA-7F52-43D0-A203-AA554A36E47D}"/>
    <cellStyle name="BMU005B 2 3 3" xfId="1121" xr:uid="{261E1EB9-A099-4E14-90BE-6B17A3421E64}"/>
    <cellStyle name="BMU005B 2 3 4" xfId="1166" xr:uid="{A25B6FE8-90C1-49E2-924E-862FF8B5A698}"/>
    <cellStyle name="BMU005B 3" xfId="754" xr:uid="{E1834883-6609-4C73-8AD1-69D5D664D290}"/>
    <cellStyle name="BMU005B 4" xfId="804" xr:uid="{4033BBC5-1CF9-4874-AF47-873A9A55577B}"/>
    <cellStyle name="BMU005B 5" xfId="909" xr:uid="{2609F12E-FB15-4F6A-8F34-9B6B90336A4D}"/>
    <cellStyle name="BMU005B 5 2" xfId="1069" xr:uid="{50CF785D-27FB-454C-B0CC-6446E7945AE4}"/>
    <cellStyle name="BMU005B 5 3" xfId="1125" xr:uid="{3A790DB8-0EB4-49BF-A4C5-3DAD07B973D0}"/>
    <cellStyle name="BMU005B 5 4" xfId="1170" xr:uid="{93D91796-2044-4EFD-B81B-B0F484A84A89}"/>
    <cellStyle name="BMU005K" xfId="100" xr:uid="{6337B6C0-8B07-4341-B4E9-772C40A19753}"/>
    <cellStyle name="BMU005K 2" xfId="489" xr:uid="{092B3F91-E04E-4C4C-9505-10A18EB9632D}"/>
    <cellStyle name="BMU005K 2 2" xfId="857" xr:uid="{58CDC05A-37BB-4FF8-84DC-2263E16DAD9C}"/>
    <cellStyle name="BMU005K 2 3" xfId="758" xr:uid="{4ED15ADF-456A-4230-B3CF-2746F0964A14}"/>
    <cellStyle name="BMU005K 2 3 2" xfId="1006" xr:uid="{3B0F79AA-ADC3-42B4-8775-2B4F7D4B8F3C}"/>
    <cellStyle name="BMU005K 2 3 3" xfId="935" xr:uid="{4E109428-155A-4034-ABBE-6F18797FD740}"/>
    <cellStyle name="BMU005K 2 3 4" xfId="954" xr:uid="{5CE9EF0F-E20B-479A-B9C5-61C08B97EBBF}"/>
    <cellStyle name="BMU005K 3" xfId="755" xr:uid="{9148CB4E-5707-4983-9144-8EED6D4DCAFA}"/>
    <cellStyle name="BMU005K 4" xfId="803" xr:uid="{8DE2A73C-6B30-4D4F-B31F-5E93F6FEA9CC}"/>
    <cellStyle name="BMU005K 5" xfId="786" xr:uid="{8627DF21-701C-4895-81FD-4D0E250DC603}"/>
    <cellStyle name="BMU005K 5 2" xfId="1017" xr:uid="{95D096A4-9DD0-43F8-8C5A-834437D56348}"/>
    <cellStyle name="BMU005K 5 3" xfId="965" xr:uid="{E6B616D2-ADA8-40F1-A52C-A96547B3E367}"/>
    <cellStyle name="BMU005K 5 4" xfId="1133" xr:uid="{70C1F347-FFE1-44F6-84A9-7596CD4BC69F}"/>
    <cellStyle name="BMU011" xfId="101" xr:uid="{BD9CC2B7-DA5E-43E3-9B70-0E41D08F4FE1}"/>
    <cellStyle name="bmutext" xfId="102" xr:uid="{0A343212-AA1D-46E1-A79F-0A1D646A219D}"/>
    <cellStyle name="BODY" xfId="103" xr:uid="{50F870A7-E7B3-4DF4-9F81-D8B72FFC1BA6}"/>
    <cellStyle name="Calc - Style1" xfId="104" xr:uid="{2D0D507D-B170-4A4B-A12F-DF3081D71A74}"/>
    <cellStyle name="Calc - Style1 2" xfId="490" xr:uid="{A86AAD34-835A-498B-95FC-2D005527628C}"/>
    <cellStyle name="Calc - Style4" xfId="105" xr:uid="{8D766EFC-BB49-4BEB-B5B2-5BFE90A57879}"/>
    <cellStyle name="Calc - Style4 2" xfId="491" xr:uid="{FED281D5-8F54-4E7E-9560-8337AA33842F}"/>
    <cellStyle name="CALC - Style5" xfId="106" xr:uid="{0CFE56C4-B1FB-4A46-8BD3-62F79954C77A}"/>
    <cellStyle name="CALC - Style5 2" xfId="492" xr:uid="{02EBA0D6-BAB4-4CEB-BDB8-86470FC7228C}"/>
    <cellStyle name="Calc - Style8" xfId="107" xr:uid="{713A3BFB-381E-4C6A-927A-05C7DD9007D9}"/>
    <cellStyle name="Calc - Style8 2" xfId="493" xr:uid="{8DA1B62B-9DE5-4849-A792-48C799DAF160}"/>
    <cellStyle name="Calc Currency (0)" xfId="108" xr:uid="{E4C2128E-7A15-4968-BC7A-636487B2C186}"/>
    <cellStyle name="Calc Currency (0) 2" xfId="494" xr:uid="{8F6FCA6A-C448-45D0-B977-60E39AA3AC72}"/>
    <cellStyle name="Calc Currency (2)" xfId="109" xr:uid="{ECFBF810-6B33-48EA-AB8D-C1684BDF87B4}"/>
    <cellStyle name="Calc Currency (2) 2" xfId="495" xr:uid="{583683A1-22A7-4CCE-86D0-74183503DD28}"/>
    <cellStyle name="Calc Percent (0)" xfId="110" xr:uid="{05147C61-10B3-446A-921D-C5CDBEB564B4}"/>
    <cellStyle name="Calc Percent (0) 2" xfId="496" xr:uid="{0F2DC09D-AF4A-4499-B56C-980AF79F5673}"/>
    <cellStyle name="Calc Percent (1)" xfId="111" xr:uid="{F2E53ECC-8F02-487E-BC4B-E1EADF2A3E36}"/>
    <cellStyle name="Calc Percent (1) 2" xfId="497" xr:uid="{73A8C736-4D35-475E-9545-A010CD3418F5}"/>
    <cellStyle name="Calc Percent (2)" xfId="112" xr:uid="{615F742E-4AC6-4188-A2AF-233DC0338BBE}"/>
    <cellStyle name="Calc Percent (2) 2" xfId="498" xr:uid="{676BB34A-AF57-4C65-A503-E6B195D275E9}"/>
    <cellStyle name="Calc Units (0)" xfId="113" xr:uid="{85CBA648-66FC-42EC-A9BA-C157CF36676F}"/>
    <cellStyle name="Calc Units (0) 2" xfId="499" xr:uid="{AF59363D-CAE4-4766-B883-2F5E0CF7DA0D}"/>
    <cellStyle name="Calc Units (1)" xfId="114" xr:uid="{CA4B18FA-1F98-44B7-BC60-6624D8BAE607}"/>
    <cellStyle name="Calc Units (1) 2" xfId="500" xr:uid="{16FBCEF5-48A6-486D-BFEC-137D8D0B66B9}"/>
    <cellStyle name="Calc Units (2)" xfId="115" xr:uid="{C745289F-98BA-401F-A1ED-24DA1C4360DA}"/>
    <cellStyle name="Calc Units (2) 2" xfId="501" xr:uid="{0455EE13-0D6D-4FB1-AF85-D43DFF820868}"/>
    <cellStyle name="Calculation 2" xfId="116" xr:uid="{D6379A00-DDEF-4F27-9851-26FEB9C817F8}"/>
    <cellStyle name="Calculation 2 2" xfId="502" xr:uid="{45F3AC72-76AE-4741-9571-A87BEE4A24E5}"/>
    <cellStyle name="Calculation 2 3" xfId="759" xr:uid="{C8B68BEC-8154-4E7C-B58B-693E36E87C2B}"/>
    <cellStyle name="Calculation 2 3 2" xfId="1007" xr:uid="{5A4D9E15-EA30-4569-B559-8996914BF4FA}"/>
    <cellStyle name="Calculation 2 3 3" xfId="972" xr:uid="{B344394C-E34F-4A7C-99DA-DAB945FA1DED}"/>
    <cellStyle name="Calculation 2 4" xfId="905" xr:uid="{4B5E7AE7-10C8-430A-BD67-E307CF786D20}"/>
    <cellStyle name="Calculation 2 4 2" xfId="1124" xr:uid="{9BA8ED93-0084-40FF-90FB-C6ABAB59AAEE}"/>
    <cellStyle name="Calculation 2 5" xfId="953" xr:uid="{CB9D0E01-6261-4C99-92C9-33CA84EAC26A}"/>
    <cellStyle name="Calculation 2 6" xfId="945" xr:uid="{0F0394ED-864B-4DB2-A5BB-31F4EBCA0FA0}"/>
    <cellStyle name="Calculation 2 7" xfId="1180" xr:uid="{88007437-9420-4763-9EA0-B649CD1F6B0F}"/>
    <cellStyle name="Calculation 3" xfId="393" xr:uid="{919FFDF7-DD3C-400E-9872-F934E90C94EF}"/>
    <cellStyle name="Calculation 3 2" xfId="710" xr:uid="{3C5EA1B7-772A-4588-9002-5DCB490D89B6}"/>
    <cellStyle name="Calculation 3 3" xfId="829" xr:uid="{64432B95-47AF-4985-8BCD-AFF185492358}"/>
    <cellStyle name="Calculation 3 3 2" xfId="1032" xr:uid="{1F45A113-D428-46F0-A007-D015C6F05FEA}"/>
    <cellStyle name="Calculation 3 3 3" xfId="1087" xr:uid="{2A161799-BA52-42CB-9CD5-A1647443B6E8}"/>
    <cellStyle name="Calculation 3 4" xfId="871" xr:uid="{6CE42FEB-DD2F-48EB-9170-FC7B139630B5}"/>
    <cellStyle name="Calculation 3 4 2" xfId="1106" xr:uid="{549E8297-87B5-41EA-AAA0-720E7033B0D5}"/>
    <cellStyle name="Calculation 3 5" xfId="942" xr:uid="{9C045088-97A4-4696-8E80-18AC3320DC8A}"/>
    <cellStyle name="CalcWi - Style5" xfId="117" xr:uid="{A38A6ACD-BC43-4BF1-A1E0-499C85285DD6}"/>
    <cellStyle name="CalcWi - Style5 2" xfId="503" xr:uid="{27D29D98-6EAF-4370-BA76-1D8B276BBC59}"/>
    <cellStyle name="Check Cell 2" xfId="118" xr:uid="{E6E1E574-C3F1-43D3-A7E1-FF8359D92FFE}"/>
    <cellStyle name="Check Cell 2 2" xfId="504" xr:uid="{F513167E-219A-4BD4-BD62-4D9B5D9AC545}"/>
    <cellStyle name="Column_Title" xfId="119" xr:uid="{FE8F00D3-F9DF-45CB-BC4E-32AB71E2345A}"/>
    <cellStyle name="Comma" xfId="5" xr:uid="{4D34EF01-8674-4A6A-90A1-52C1FE447AC7}"/>
    <cellStyle name="Comma  - Style1" xfId="121" xr:uid="{89CFAFC3-F4FE-401D-88BE-B9893B53745E}"/>
    <cellStyle name="Comma  - Style1 2" xfId="506" xr:uid="{B77D96B1-A0E9-4095-86C0-28E5AC105917}"/>
    <cellStyle name="Comma  - Style2" xfId="122" xr:uid="{49E10357-B04D-4F9D-B986-7C20A2036D7E}"/>
    <cellStyle name="Comma  - Style2 2" xfId="507" xr:uid="{2A39EE13-BCE4-4407-8E48-8879847383BD}"/>
    <cellStyle name="Comma  - Style3" xfId="123" xr:uid="{809DD7E8-78B9-428F-8E29-6C6D29A6C6BC}"/>
    <cellStyle name="Comma  - Style3 2" xfId="508" xr:uid="{53D72CF4-1BD5-4C9A-BF96-4D2D3E8A4FA3}"/>
    <cellStyle name="Comma  - Style4" xfId="124" xr:uid="{EA75F51E-1245-4CA4-A1D9-9CECAE468C9D}"/>
    <cellStyle name="Comma  - Style4 2" xfId="509" xr:uid="{8180036A-59F1-4DB5-A3B3-1385377C26D5}"/>
    <cellStyle name="Comma  - Style5" xfId="125" xr:uid="{347F9F57-A3DC-4285-BFBA-05895C31BE2D}"/>
    <cellStyle name="Comma  - Style5 2" xfId="510" xr:uid="{693FAC71-29A4-42FC-9C59-1B72818C0043}"/>
    <cellStyle name="Comma  - Style6" xfId="126" xr:uid="{6B23705A-139F-4461-9D2D-3FB8652ED302}"/>
    <cellStyle name="Comma  - Style6 2" xfId="511" xr:uid="{BB699A53-586F-4DCF-AA27-AF94DE2A2E83}"/>
    <cellStyle name="Comma  - Style7" xfId="127" xr:uid="{F0E447FC-AD94-4862-A78E-D2B32C6CFE40}"/>
    <cellStyle name="Comma  - Style7 2" xfId="512" xr:uid="{FB1B968C-D216-4EE3-A1C7-4A20D67F1703}"/>
    <cellStyle name="Comma  - Style8" xfId="128" xr:uid="{B8AE5390-1204-419F-AA52-223215A4303A}"/>
    <cellStyle name="Comma  - Style8 2" xfId="513" xr:uid="{8F8279EC-EE83-4CF5-B61C-486E7C92E231}"/>
    <cellStyle name="Comma [0]" xfId="6" xr:uid="{3425F112-6A70-4DBC-80F0-5A6EE5F0FB54}"/>
    <cellStyle name="Comma [0] 2" xfId="732" xr:uid="{B895111B-9376-4EEF-86CC-C98CA1D27C1A}"/>
    <cellStyle name="Comma [00]" xfId="129" xr:uid="{B8E55D53-D550-42FB-AA6A-731ED22E7460}"/>
    <cellStyle name="Comma [00] 2" xfId="514" xr:uid="{F266E025-1839-4626-BF72-C30B2F441ADC}"/>
    <cellStyle name="Comma 10" xfId="731" xr:uid="{13493773-DF69-494A-8030-1C16842601A1}"/>
    <cellStyle name="Comma 11" xfId="825" xr:uid="{F422881E-4977-421B-A261-C2349F2E2217}"/>
    <cellStyle name="Comma 12" xfId="913" xr:uid="{5E22503F-32D0-4026-99DB-009173DC5525}"/>
    <cellStyle name="Comma 13" xfId="827" xr:uid="{9EDEA2C3-3FBC-4FFB-BEE4-1341B3F539F7}"/>
    <cellStyle name="Comma 14" xfId="900" xr:uid="{4700ECB3-AA19-45FD-A17F-44BC8266F13F}"/>
    <cellStyle name="Comma 2" xfId="9" xr:uid="{9A084E4A-6C7D-4311-B3F8-BAAE503CF301}"/>
    <cellStyle name="Comma 2 2" xfId="415" xr:uid="{5B3B86F8-341E-4DE5-9953-6DD490FA5272}"/>
    <cellStyle name="Comma 3" xfId="13" xr:uid="{842AF374-84E5-4BFC-88AF-BAC815BDB6E0}"/>
    <cellStyle name="Comma 3 2" xfId="417" xr:uid="{FD65EE66-E9DE-42C2-966D-34E49AB9A999}"/>
    <cellStyle name="Comma 3 2 2" xfId="846" xr:uid="{F772E3D3-965C-4B1E-88C7-27DDF07EEFC9}"/>
    <cellStyle name="Comma 3 3" xfId="735" xr:uid="{F5AD149A-0B51-4D07-9B35-36DE35B0A306}"/>
    <cellStyle name="Comma 4" xfId="15" xr:uid="{0B807858-547D-44D9-BF70-B14D82825673}"/>
    <cellStyle name="Comma 4 2" xfId="418" xr:uid="{0E93770A-C528-4CEF-9AE2-8AAA72A04610}"/>
    <cellStyle name="Comma 4 2 2" xfId="847" xr:uid="{4912B84B-E82F-4058-B75E-9442C7F7D056}"/>
    <cellStyle name="Comma 4 3" xfId="736" xr:uid="{989C6492-60EC-406A-B5E3-0D5C24907F3D}"/>
    <cellStyle name="Comma 4 4" xfId="1178" xr:uid="{2415E9CE-B45C-4180-B8EF-B4CA473F2530}"/>
    <cellStyle name="Comma 5" xfId="120" xr:uid="{6738F426-1204-4C53-B7E7-8C73572947C9}"/>
    <cellStyle name="Comma 5 2" xfId="505" xr:uid="{4E088CA1-4A6B-4E82-A4E4-F09308A3665A}"/>
    <cellStyle name="Comma 6" xfId="392" xr:uid="{11EF9CCF-591C-479C-ABD5-7A6C9B875BED}"/>
    <cellStyle name="Comma 6 2" xfId="709" xr:uid="{87C10EB3-CB6D-4231-BEE3-0AC0AD6109F3}"/>
    <cellStyle name="Comma 7" xfId="412" xr:uid="{BE20644C-FB13-4223-A1A2-D2FDC7AE2E3D}"/>
    <cellStyle name="Comma 7 2" xfId="728" xr:uid="{CE16BBC7-57D9-4181-9E46-A879CB7CE2CD}"/>
    <cellStyle name="Comma 8" xfId="394" xr:uid="{194CC56C-021F-493E-876E-84AAFEF0AFA7}"/>
    <cellStyle name="Comma 8 2" xfId="711" xr:uid="{1261F0B6-2B4F-4D57-ABDA-07DE69CBF365}"/>
    <cellStyle name="Comma 9" xfId="402" xr:uid="{82386EA5-DAE9-45B8-9D89-B658E31F4C7C}"/>
    <cellStyle name="Comma 9 2" xfId="719" xr:uid="{B11B8502-1654-4674-A623-A76063E6FFC7}"/>
    <cellStyle name="Comma_AĞUSTOS" xfId="130" xr:uid="{D9DAC843-F7B7-40E5-B9D9-F4A696643861}"/>
    <cellStyle name="Comma0" xfId="131" xr:uid="{450CB880-E6F3-4A82-9C08-0099129DEAE5}"/>
    <cellStyle name="Comma0 - Biçem2" xfId="132" xr:uid="{0113AD3C-327F-432D-8D14-6A3E492E25E5}"/>
    <cellStyle name="Comma0 - Biçem2 2" xfId="516" xr:uid="{1B48B899-0E42-4490-9E34-27664725E3C9}"/>
    <cellStyle name="Comma0 2" xfId="515" xr:uid="{6AA32186-3257-400E-9E38-BFE3522CD47B}"/>
    <cellStyle name="Company Name" xfId="133" xr:uid="{9E4EBED9-6BD6-429D-88FF-5F651DEF078C}"/>
    <cellStyle name="Copied" xfId="134" xr:uid="{D73F2C17-1304-412F-BCF6-6DB432093F51}"/>
    <cellStyle name="Copied 2" xfId="517" xr:uid="{9F63C724-BF9D-4BBC-ABEF-699C79842B71}"/>
    <cellStyle name="COST1" xfId="135" xr:uid="{57BC97DE-7832-4DC3-80D1-D5B8349905F5}"/>
    <cellStyle name="Credit" xfId="136" xr:uid="{E22D5718-99BD-4ACC-97F7-D0242BE96D53}"/>
    <cellStyle name="Credit subtotal" xfId="137" xr:uid="{C45934E8-9BA9-448F-B4AE-7D8FDC52D37C}"/>
    <cellStyle name="Credit subtotal 2" xfId="395" xr:uid="{045C6ED5-8591-4DEA-A059-9BA5775F3507}"/>
    <cellStyle name="Credit subtotal 2 2" xfId="712" xr:uid="{21E83144-9B39-457D-80A8-B25111DD8D7E}"/>
    <cellStyle name="Credit subtotal 2 2 2" xfId="907" xr:uid="{5297FA9B-6C5C-4796-9465-FD069A279889}"/>
    <cellStyle name="Credit subtotal 2 2 2 2" xfId="1067" xr:uid="{B90EA88F-DC42-4540-ACBD-1C1734567E28}"/>
    <cellStyle name="Credit subtotal 2 2 3" xfId="919" xr:uid="{621434BE-DC21-47BF-8C04-929520D309D4}"/>
    <cellStyle name="Credit subtotal 2 2 3 2" xfId="1075" xr:uid="{59836DD6-D98F-4DF1-B23A-240627B79D66}"/>
    <cellStyle name="Credit subtotal 2 2 4" xfId="996" xr:uid="{C5D3337E-004B-4B61-9588-266BFC45A640}"/>
    <cellStyle name="Credit subtotal 2 3" xfId="831" xr:uid="{62DF9695-5F17-4E24-8EEF-A51225A2F5EF}"/>
    <cellStyle name="Credit subtotal 2 3 2" xfId="1034" xr:uid="{61C1714D-EC20-4D84-98CD-CCD53AC7E13A}"/>
    <cellStyle name="Credit subtotal 2 4" xfId="797" xr:uid="{DD4BF51D-26D6-454E-9BA4-726D0289460C}"/>
    <cellStyle name="Credit subtotal 2 4 2" xfId="1021" xr:uid="{4E596B06-F48D-4D1E-82B9-199E4580CB53}"/>
    <cellStyle name="Credit subtotal 2 5" xfId="1014" xr:uid="{79A1C5FE-2066-48BE-989D-86DA8377A2E1}"/>
    <cellStyle name="Credit subtotal 3" xfId="518" xr:uid="{7A213F6E-AE8A-4D90-A7C4-179F34949FC9}"/>
    <cellStyle name="Credit subtotal 3 2" xfId="864" xr:uid="{F342A849-F5C3-4A6A-A99F-D4C6CCC974E9}"/>
    <cellStyle name="Credit subtotal 3 2 2" xfId="1047" xr:uid="{CEED240F-A722-4C6C-A7A2-06BB474AE706}"/>
    <cellStyle name="Credit subtotal 3 3" xfId="894" xr:uid="{7D8008D9-35BD-456E-89AF-DD0370747B00}"/>
    <cellStyle name="Credit subtotal 3 3 2" xfId="1064" xr:uid="{0E5D0F1A-D58D-4EAE-8994-2D3AA3A91857}"/>
    <cellStyle name="Credit subtotal 3 4" xfId="976" xr:uid="{B53EA76B-90D1-4D8D-9248-F89EC8B24875}"/>
    <cellStyle name="Credit subtotal 4" xfId="765" xr:uid="{A6779B29-841E-4F88-91C0-2826E376C36B}"/>
    <cellStyle name="Credit subtotal 4 2" xfId="1008" xr:uid="{EBC20CB7-C003-4893-811A-897D33A84C14}"/>
    <cellStyle name="Credit subtotal 5" xfId="848" xr:uid="{4F742F32-66B6-4EFB-BF91-7E26341D2F41}"/>
    <cellStyle name="Credit subtotal 5 2" xfId="1042" xr:uid="{5DCBB99F-4364-4D27-8507-DF1F3320CFB8}"/>
    <cellStyle name="Credit Total" xfId="138" xr:uid="{FF061A94-7273-4F95-AA9B-DB388D7D8465}"/>
    <cellStyle name="Credit Total 2" xfId="519" xr:uid="{973F6252-6600-4F1F-A431-D6A3A5346C18}"/>
    <cellStyle name="Credit Total 2 2" xfId="854" xr:uid="{2C9969A2-BAAE-4C53-8EDD-AD8BD7611E47}"/>
    <cellStyle name="Credit Total 3" xfId="800" xr:uid="{E187C223-105D-4DBF-92A8-4287F6647A81}"/>
    <cellStyle name="Credit_AFM 31.12.2000 SPK TR" xfId="139" xr:uid="{DAE44FA4-5B1F-4A30-ABDC-615702B7CA8A}"/>
    <cellStyle name="Currency" xfId="3" xr:uid="{2DE74F58-1404-4D09-9E0E-97CDB2D357B2}"/>
    <cellStyle name="Currency $" xfId="140" xr:uid="{58D0A778-89C3-453F-8651-B51096900854}"/>
    <cellStyle name="Currency $ 2" xfId="520" xr:uid="{7978CED2-F579-40F6-AC43-9F1E997B553C}"/>
    <cellStyle name="Currency [0]" xfId="4" xr:uid="{0A0E056A-DFEA-461E-B0E3-43399961BA1C}"/>
    <cellStyle name="Currency [00]" xfId="141" xr:uid="{8414A9DF-F1F0-4C2C-800A-96DF30686903}"/>
    <cellStyle name="Currency [00] 2" xfId="521" xr:uid="{20115C36-50E2-4966-B654-8886DC1E0608}"/>
    <cellStyle name="Currency MTL" xfId="142" xr:uid="{CDAD2809-0571-4BDF-AAC9-2F1CA6567F9F}"/>
    <cellStyle name="Currency MTL 2" xfId="522" xr:uid="{139B2830-1C12-4C2D-9D18-A45C757A38BF}"/>
    <cellStyle name="Currency T$" xfId="143" xr:uid="{32573794-2C79-49DA-9F30-FA19ED849F22}"/>
    <cellStyle name="Currency T$ 2" xfId="523" xr:uid="{A94287F3-35BC-439F-843A-F8C431877306}"/>
    <cellStyle name="Currency0" xfId="144" xr:uid="{3DD19453-B212-4AE6-BD91-8C656561E07A}"/>
    <cellStyle name="Currency0 2" xfId="524" xr:uid="{14B26E80-C778-4056-A34B-F359F43E152F}"/>
    <cellStyle name="Current_Inactive" xfId="145" xr:uid="{0D67ED62-9F12-4A6F-ABE6-CA7272C24EAF}"/>
    <cellStyle name="custom" xfId="146" xr:uid="{9C8678ED-8CEF-4C64-9CA1-2BC1B48A05A8}"/>
    <cellStyle name="custom 2" xfId="525" xr:uid="{580507FB-DE81-4E7D-8E16-EB2737135E85}"/>
    <cellStyle name="dataheader" xfId="147" xr:uid="{479F6887-FAC7-4F2C-A171-93A8A2A94EDD}"/>
    <cellStyle name="dataheader 2" xfId="526" xr:uid="{64786C2F-3B41-49E5-B54E-5B24525226BF}"/>
    <cellStyle name="Date" xfId="148" xr:uid="{9D1C6ABD-584E-416B-84B8-DE3022A925BE}"/>
    <cellStyle name="Date 2" xfId="527" xr:uid="{6DCBF816-114C-44EF-B4AA-AA8D603ED5F9}"/>
    <cellStyle name="Date Short" xfId="149" xr:uid="{ED0FD712-E3E7-40BC-ADF2-3819DE9BC24D}"/>
    <cellStyle name="Date Short 2" xfId="528" xr:uid="{89A6B96A-DC3C-4CD9-9CEF-3287678ED080}"/>
    <cellStyle name="Date_Book2" xfId="150" xr:uid="{8F81D5C5-B51E-408D-A0EE-D7D619EDD4D2}"/>
    <cellStyle name="Debit" xfId="151" xr:uid="{49881C19-165F-40B7-B8E4-23A37FCAE37F}"/>
    <cellStyle name="Debit subtotal" xfId="152" xr:uid="{5006E253-4853-4563-B7E6-8E60AE65AFC2}"/>
    <cellStyle name="Debit subtotal 2" xfId="396" xr:uid="{BBE23DDA-1B5C-4DC8-A23D-4A37C6EFC036}"/>
    <cellStyle name="Debit subtotal 2 2" xfId="713" xr:uid="{F6132694-C1D1-43A7-8F49-E636B9B3A965}"/>
    <cellStyle name="Debit subtotal 2 2 2" xfId="908" xr:uid="{8EE92731-CD12-46B2-A124-BC5ADDDDB3F6}"/>
    <cellStyle name="Debit subtotal 2 2 2 2" xfId="1068" xr:uid="{DA6F23BA-F3AD-41A5-A109-6405F8FD3BCE}"/>
    <cellStyle name="Debit subtotal 2 2 3" xfId="920" xr:uid="{F855D131-4639-4F4C-8D35-33BC4B869131}"/>
    <cellStyle name="Debit subtotal 2 2 3 2" xfId="1076" xr:uid="{26AC9768-E4C7-4726-B118-CC2D36CEE6A6}"/>
    <cellStyle name="Debit subtotal 2 2 4" xfId="997" xr:uid="{3D01958A-B886-4B37-BA39-36B893081D1C}"/>
    <cellStyle name="Debit subtotal 2 3" xfId="832" xr:uid="{C8B57CC9-911E-41A5-B9AF-8BACF0B19998}"/>
    <cellStyle name="Debit subtotal 2 3 2" xfId="1035" xr:uid="{7ED4FAF2-7358-4E62-9F48-484A66ED4FB6}"/>
    <cellStyle name="Debit subtotal 2 4" xfId="734" xr:uid="{BB5B94BB-1DC1-4E5A-90CF-169AD5644D7B}"/>
    <cellStyle name="Debit subtotal 2 4 2" xfId="1000" xr:uid="{C1F41E72-F5AE-4945-B7B5-268252CFBDF0}"/>
    <cellStyle name="Debit subtotal 2 5" xfId="1044" xr:uid="{F11BD058-498F-43D8-B29C-F853EEC28F21}"/>
    <cellStyle name="Debit subtotal 3" xfId="529" xr:uid="{FDD478CC-769E-4EDC-AEA7-C717F1B19362}"/>
    <cellStyle name="Debit subtotal 3 2" xfId="865" xr:uid="{4EE04D0C-5234-45A2-8609-1F5D58D3C5B5}"/>
    <cellStyle name="Debit subtotal 3 2 2" xfId="1048" xr:uid="{4BC49DDA-8BE9-4F76-AFD2-9E13D74D57C5}"/>
    <cellStyle name="Debit subtotal 3 3" xfId="856" xr:uid="{D8C0AA2D-3EFD-4490-8E1A-65477328B154}"/>
    <cellStyle name="Debit subtotal 3 3 2" xfId="1046" xr:uid="{AA245E83-C8B6-480B-9FF4-F1A365B41642}"/>
    <cellStyle name="Debit subtotal 3 4" xfId="977" xr:uid="{D974831B-C4DC-40FF-BE6C-4D3BF63A93BE}"/>
    <cellStyle name="Debit subtotal 4" xfId="766" xr:uid="{43262B7C-6339-4809-93FF-B23E9047E858}"/>
    <cellStyle name="Debit subtotal 4 2" xfId="1009" xr:uid="{3395C4F1-FB07-4ADF-B5AF-2F8F600066AE}"/>
    <cellStyle name="Debit subtotal 5" xfId="881" xr:uid="{2194DEA2-B7EA-4854-AA81-74E1E8FFB079}"/>
    <cellStyle name="Debit subtotal 5 2" xfId="1057" xr:uid="{8FE02282-58DD-42CD-A0C3-A41402917023}"/>
    <cellStyle name="Debit Total" xfId="153" xr:uid="{FC06CB2B-033F-45D7-8A55-714221F21E5F}"/>
    <cellStyle name="Debit Total 2" xfId="530" xr:uid="{C3152A58-6D9D-44F1-BB08-33AF7C6C2B02}"/>
    <cellStyle name="Debit Total 2 2" xfId="743" xr:uid="{AAD26BC9-1284-47C5-BB5E-73AD7D1E24FB}"/>
    <cellStyle name="Debit Total 3" xfId="889" xr:uid="{BA10AB4F-84EB-46D9-8645-D4408DB6C010}"/>
    <cellStyle name="Debit_AFM 31.12.2000 SPK TR" xfId="154" xr:uid="{DBCD70D6-B9E4-45C7-9EB6-9DD8C35A528C}"/>
    <cellStyle name="Dezimal [0]_1" xfId="155" xr:uid="{02CA555C-36C7-44B8-9E25-F2ABA79DD881}"/>
    <cellStyle name="Dezimal_1" xfId="156" xr:uid="{BAD6E2E3-0223-4E07-85CA-2FB2B63272DF}"/>
    <cellStyle name="DISPL1 - Style4" xfId="157" xr:uid="{0ED2882E-0997-4E9C-AB85-D3C321E785CE}"/>
    <cellStyle name="DISPL1 - Style4 2" xfId="531" xr:uid="{0959276D-8B43-417D-9249-42B4B8701749}"/>
    <cellStyle name="DISPL2 - Style5" xfId="158" xr:uid="{4852C865-F7C4-45B9-A4AB-6B3B9013C526}"/>
    <cellStyle name="DISPL2 - Style5 2" xfId="532" xr:uid="{F9A21C1B-68FE-4A93-A4C0-10E0E98608C3}"/>
    <cellStyle name="Disp1 - Style7" xfId="159" xr:uid="{EE043525-FA11-4F7A-B535-E9C6AE8CDF54}"/>
    <cellStyle name="Disp1 - Style7 2" xfId="533" xr:uid="{811083B8-0743-4965-AE22-B701EACD8C9E}"/>
    <cellStyle name="Disp2 - Style8" xfId="160" xr:uid="{30F77E61-76A5-4D94-B3E9-5F7FCBC74E62}"/>
    <cellStyle name="Disp2 - Style8 2" xfId="534" xr:uid="{C1C641E4-01EE-4FF7-8027-09499F8D9AFA}"/>
    <cellStyle name="Displ1 - Style2" xfId="161" xr:uid="{415B48B9-0C3B-484F-B523-133ABC486A8D}"/>
    <cellStyle name="Displ1 - Style2 2" xfId="535" xr:uid="{1D8DAFE2-7D75-4752-9DC0-6C0415FDB7B0}"/>
    <cellStyle name="Dziesiêtny [0]_laroux" xfId="162" xr:uid="{3DA5B722-78A1-4A84-9FE1-3B6B56F24ED4}"/>
    <cellStyle name="Dziesiętny_BIL_3" xfId="163" xr:uid="{8A9190BA-F679-4C4B-9FF1-471D27E0F084}"/>
    <cellStyle name="Dziesiêtny_laroux" xfId="164" xr:uid="{AEA507D8-B24B-4977-B60E-069B8E374C9D}"/>
    <cellStyle name="Enter Currency (0)" xfId="165" xr:uid="{AEF1023B-3172-4DE4-90D1-62F490E85677}"/>
    <cellStyle name="Enter Currency (0) 2" xfId="536" xr:uid="{B9C41570-6118-49E1-B536-50487917D7B7}"/>
    <cellStyle name="Enter Currency (2)" xfId="166" xr:uid="{9B88A50D-6374-4ACC-8CEA-2A307D074FCD}"/>
    <cellStyle name="Enter Currency (2) 2" xfId="537" xr:uid="{30A41F0D-35EA-4E7F-A085-BD9C9C179165}"/>
    <cellStyle name="Enter Units (0)" xfId="167" xr:uid="{BC91C8C5-1727-4911-91B3-EFBB95ABB70D}"/>
    <cellStyle name="Enter Units (0) 2" xfId="538" xr:uid="{8069717A-E1A3-432E-AA38-E85409FC75B2}"/>
    <cellStyle name="Enter Units (1)" xfId="168" xr:uid="{65A3CA11-B19B-4C93-93C6-B470EE815D39}"/>
    <cellStyle name="Enter Units (1) 2" xfId="539" xr:uid="{C0D2C1C4-0FFF-4DF1-9EB0-55689B2FE2BB}"/>
    <cellStyle name="Enter Units (2)" xfId="169" xr:uid="{42DC0987-C723-460E-B227-68B416033CEA}"/>
    <cellStyle name="Enter Units (2) 2" xfId="540" xr:uid="{0756DABE-B0A4-4BCD-81D5-BB9678010580}"/>
    <cellStyle name="Entered" xfId="170" xr:uid="{847BA135-3D4E-482A-9A1D-78630E18B8F2}"/>
    <cellStyle name="Entered 2" xfId="541" xr:uid="{1372D508-EAED-41A4-95A5-53E2BDB6620F}"/>
    <cellStyle name="entry" xfId="171" xr:uid="{AFE188F1-7EA0-4520-9784-B198EC9BFEF1}"/>
    <cellStyle name="Eomma [0]_MACRO1.XLM" xfId="172" xr:uid="{F4645864-7AA7-44CD-8178-92C7B009E309}"/>
    <cellStyle name="Ertan" xfId="173" xr:uid="{F6FCD90C-005A-432E-96BF-26B15DB6B4C5}"/>
    <cellStyle name="Ertan 2" xfId="401" xr:uid="{9EA40561-1A65-4277-B8FB-0013B4CE0E09}"/>
    <cellStyle name="Ertan 2 2" xfId="718" xr:uid="{AFF96245-D284-40A8-BEE1-D350EB7E60E8}"/>
    <cellStyle name="Ertan 2 2 2" xfId="998" xr:uid="{2A51923C-B725-40E6-9D81-34CED26BA6FC}"/>
    <cellStyle name="Ertan 2 3" xfId="837" xr:uid="{AD4F322D-C219-4DDA-8701-09070B9C1DB1}"/>
    <cellStyle name="Ertan 2 3 2" xfId="1040" xr:uid="{133B4803-9BED-4577-9583-83CEECDA80FA}"/>
    <cellStyle name="Ertan 2 4" xfId="958" xr:uid="{9BFD29F5-5191-4DCD-A339-A1047595FFDC}"/>
    <cellStyle name="Ertan 3" xfId="542" xr:uid="{A9DBBE8C-9CE1-4F28-90B2-205A29B8F9BD}"/>
    <cellStyle name="Ertan 3 2" xfId="978" xr:uid="{A7A9137F-0053-42C6-8853-3B04A99BCEA7}"/>
    <cellStyle name="Ertan 4" xfId="774" xr:uid="{4F918E88-CFA0-4D43-9EB0-B17D538C4057}"/>
    <cellStyle name="Ertan 4 2" xfId="1011" xr:uid="{F55D57BD-D5DC-4D78-9570-68FCB6292990}"/>
    <cellStyle name="Euro" xfId="174" xr:uid="{B8D2ECF0-8FDF-4182-92CE-E0E5BF7C6B13}"/>
    <cellStyle name="Euro 2" xfId="543" xr:uid="{CF464A57-0E11-4B25-9A06-D5B4CF592F46}"/>
    <cellStyle name="Explanatory Text 2" xfId="175" xr:uid="{1CAC37D9-0291-4980-A203-A2A43B6A438C}"/>
    <cellStyle name="Explanatory Text 2 2" xfId="544" xr:uid="{311F7A9F-7561-457F-BC32-07A4CBF2CA93}"/>
    <cellStyle name="Ȝ" xfId="18" xr:uid="{81947A3B-1502-463B-B924-108972AF4995}"/>
    <cellStyle name="Ȝ 2" xfId="420" xr:uid="{6EBB3779-C40D-4F79-8DAE-DA57AF811FDF}"/>
    <cellStyle name="Family_Option" xfId="176" xr:uid="{4FFEB247-1D18-4B82-85F7-AAD9394A757C}"/>
    <cellStyle name="FIYAT" xfId="177" xr:uid="{125208B8-8480-4E7F-A2B5-700BAD1B2754}"/>
    <cellStyle name="Fixed" xfId="178" xr:uid="{C6D2D528-FE15-4C80-8441-F90672BCA589}"/>
    <cellStyle name="Fixed 2" xfId="545" xr:uid="{6F24A1C6-2218-40F4-B87C-88CF239CE890}"/>
    <cellStyle name="Flag" xfId="179" xr:uid="{AACD7B38-C31F-4E6C-83CB-4A49009A5ED4}"/>
    <cellStyle name="FontanaPh#" xfId="180" xr:uid="{C2F803B0-9EE3-4FB8-8A86-5C04E7DDF28D}"/>
    <cellStyle name="FontanaPh# 2" xfId="546" xr:uid="{A84D669F-A1C0-46D4-B4C6-ED55B71A4BF0}"/>
    <cellStyle name="Future_Inactive" xfId="181" xr:uid="{A3960B4E-2FDF-4FFA-9386-4094401896C7}"/>
    <cellStyle name="Good 2" xfId="182" xr:uid="{40970880-3466-4421-BE35-EE264B8E9360}"/>
    <cellStyle name="Good 2 2" xfId="547" xr:uid="{45C22D64-2EB4-4DA4-9934-64A1BA6B52C9}"/>
    <cellStyle name="Grey" xfId="183" xr:uid="{3EC74EE5-DF96-4AB1-881F-860A0ADE4A75}"/>
    <cellStyle name="Grey 2" xfId="548" xr:uid="{39A00B09-C1A8-47A5-A87F-198927AD86A0}"/>
    <cellStyle name="GRUP" xfId="184" xr:uid="{CF760B67-E699-4463-80F6-1768A07E719A}"/>
    <cellStyle name="GRUP 2" xfId="549" xr:uid="{2C821227-8EBD-44B4-BDB4-825059D88603}"/>
    <cellStyle name="GRUP 2 2" xfId="979" xr:uid="{59673312-21D5-4175-8118-3A15E7068C30}"/>
    <cellStyle name="HEADER" xfId="185" xr:uid="{A9E05D66-E917-4FFA-8494-E4B15E312C56}"/>
    <cellStyle name="HEADER 2" xfId="550" xr:uid="{C34CF234-A95D-42CA-BC74-50F7FF7D3770}"/>
    <cellStyle name="Header1" xfId="186" xr:uid="{71A28C63-F748-45A2-B484-4B20F5A403CB}"/>
    <cellStyle name="Header1 2" xfId="551" xr:uid="{C87240E3-4F07-428C-876E-F3DCC297B54B}"/>
    <cellStyle name="Header2" xfId="187" xr:uid="{9AB3AF92-8ACF-41F7-B5AF-C7DD54177635}"/>
    <cellStyle name="Header2 2" xfId="552" xr:uid="{068A1798-946D-48A7-8219-287E890C7038}"/>
    <cellStyle name="Header2 2 2" xfId="980" xr:uid="{F6FD8D84-8ACF-4A7F-9AF6-82F435076CE6}"/>
    <cellStyle name="Header2 2 3" xfId="1030" xr:uid="{EB13D37C-3746-423A-94F9-68A95071FEA5}"/>
    <cellStyle name="Header2 3" xfId="914" xr:uid="{E001FC0E-1172-428B-A01B-B325BB1D1F72}"/>
    <cellStyle name="Header2 3 2" xfId="1073" xr:uid="{4C14D4E3-16B9-41E9-8890-7CDF055C2FEC}"/>
    <cellStyle name="Header2 3 3" xfId="1129" xr:uid="{67CEE573-2012-4C0B-A785-8F1B0028432B}"/>
    <cellStyle name="Header2 3 4" xfId="1174" xr:uid="{53B2C176-164C-40A0-B596-A1B2D79C4C2E}"/>
    <cellStyle name="Heading" xfId="188" xr:uid="{C6BA6614-16BE-4F4F-9DAA-8FB17EE1F4B7}"/>
    <cellStyle name="Heading 1 2" xfId="189" xr:uid="{5F04FAA7-B07F-4F2F-BF54-19C2FEDA477A}"/>
    <cellStyle name="Heading 1 2 2" xfId="554" xr:uid="{D68DACA7-B8DF-4CAB-B12F-7576BA1BCF25}"/>
    <cellStyle name="Heading 2 2" xfId="190" xr:uid="{96A0679E-745B-4075-9425-992522F257D2}"/>
    <cellStyle name="Heading 2 2 2" xfId="555" xr:uid="{A8A21C6B-B4EC-4C52-A30F-5CCE39AB6F64}"/>
    <cellStyle name="Heading 3 2" xfId="191" xr:uid="{8EFF5938-87D5-4ACC-995F-A604FC81521D}"/>
    <cellStyle name="Heading 3 2 2" xfId="556" xr:uid="{42261142-A54A-4E10-AC13-B3E5D103C2E6}"/>
    <cellStyle name="Heading 3 2 3" xfId="776" xr:uid="{BC7DEAB1-2CB7-431C-982B-A4832B7765FB}"/>
    <cellStyle name="Heading 3 2 4" xfId="1181" xr:uid="{4008BB8C-A160-4E1D-ADF8-09396BA78B6F}"/>
    <cellStyle name="Heading 4 2" xfId="192" xr:uid="{6859D1F1-892F-4819-AB1E-A903A267A12B}"/>
    <cellStyle name="Heading 4 2 2" xfId="557" xr:uid="{AB4604BC-C026-4102-84DF-9C3FF12F1B7D}"/>
    <cellStyle name="Heading 5" xfId="553" xr:uid="{9F284739-8103-432E-8A35-24A40E214D69}"/>
    <cellStyle name="Heading1" xfId="193" xr:uid="{C88BE352-2197-4F37-8141-5D4F42B2EAE3}"/>
    <cellStyle name="Heading2" xfId="194" xr:uid="{8FD5A9BF-0AEC-4CFB-A669-10CB4EE8FAC0}"/>
    <cellStyle name="Heading3" xfId="195" xr:uid="{CFF255DF-F1E5-41A5-9A54-7D00B31D9C4D}"/>
    <cellStyle name="Heading3 2" xfId="558" xr:uid="{B11D46B2-A0D2-41EE-B79C-FB425C362813}"/>
    <cellStyle name="Heading3 2 2" xfId="982" xr:uid="{47719A0A-BEFE-4452-B817-B229AA5FBA7B}"/>
    <cellStyle name="Heading3 2 3" xfId="999" xr:uid="{8A876264-81D1-4E88-B173-369F77751FBD}"/>
    <cellStyle name="Heading3 3" xfId="778" xr:uid="{82DC68E3-9520-4746-AF43-03690B137E08}"/>
    <cellStyle name="Heading3 3 2" xfId="1013" xr:uid="{216D2240-48B2-4EF3-A421-3F666F6A3FDE}"/>
    <cellStyle name="Heading3 3 3" xfId="967" xr:uid="{0FFA8B60-50BB-49F2-8714-6423499E493F}"/>
    <cellStyle name="Heading3 4" xfId="887" xr:uid="{4EE05216-25DB-4809-9BB3-40322B47204B}"/>
    <cellStyle name="Heading3 4 2" xfId="1119" xr:uid="{5929165C-28C3-44FA-A065-F61AE372E601}"/>
    <cellStyle name="Heading3 5" xfId="923" xr:uid="{5E4CEAB4-0248-48CD-AE57-14830F32F581}"/>
    <cellStyle name="Heading3 6" xfId="947" xr:uid="{28F47499-E91A-44EE-848B-6E914F7DBC63}"/>
    <cellStyle name="Heading3 7" xfId="1182" xr:uid="{D2A1A6EE-BF62-46B7-9ED5-1C3B362943D0}"/>
    <cellStyle name="Heading4" xfId="196" xr:uid="{1B5424BB-C2B4-4A27-8504-4A20E34C8CC5}"/>
    <cellStyle name="Heading4 2" xfId="559" xr:uid="{935A4D9C-572E-45B5-98BB-43FDA77720D7}"/>
    <cellStyle name="Heading5" xfId="197" xr:uid="{3A5B2F3E-3FDB-4EFB-9D57-705F3122C4BD}"/>
    <cellStyle name="Heading5 2" xfId="560" xr:uid="{2D612406-3434-4E1C-955B-5A99264A17E3}"/>
    <cellStyle name="Heading6" xfId="198" xr:uid="{150F9775-4E96-4811-86B2-E17C0E705C6C}"/>
    <cellStyle name="Hide - Style3" xfId="199" xr:uid="{B41E4764-1979-41CD-A98A-A63EBD057F2C}"/>
    <cellStyle name="Hide - Style3 2" xfId="561" xr:uid="{4FA6F83F-521D-41E3-8FB9-E585419771DA}"/>
    <cellStyle name="Hide - Style4" xfId="200" xr:uid="{6E59078D-84F4-4C78-A01B-BE91483F0410}"/>
    <cellStyle name="Hide - Style4 2" xfId="562" xr:uid="{2DC0854D-7311-437F-A655-57EE1A7CD874}"/>
    <cellStyle name="Horizontal" xfId="201" xr:uid="{E7C806CC-C59E-4090-9149-6148C66B9D00}"/>
    <cellStyle name="Horizontal 2" xfId="563" xr:uid="{A6E997B4-F27C-47DF-818B-D927CDC0EFEF}"/>
    <cellStyle name="Horizontal 2 2" xfId="741" xr:uid="{D2ECBD71-E029-47A2-A2C2-1BEB3D495DFB}"/>
    <cellStyle name="Horizontal 2 3" xfId="812" xr:uid="{9E53958E-11C8-4EB2-9295-20920B1AC5A7}"/>
    <cellStyle name="Horizontal 2 3 2" xfId="1024" xr:uid="{136DA81A-D037-4CE5-82D3-F87753022605}"/>
    <cellStyle name="Horizontal 2 3 3" xfId="1077" xr:uid="{E6103160-D53B-4BB2-A581-E648D681469D}"/>
    <cellStyle name="Horizontal 2 3 4" xfId="1138" xr:uid="{B17C3C6B-29E3-4A5E-9B0F-E9B2F5B575B8}"/>
    <cellStyle name="Horizontal 3" xfId="796" xr:uid="{C6DFBD24-1903-41D4-8946-96CB62F7C8EC}"/>
    <cellStyle name="Horizontal 4" xfId="882" xr:uid="{7B4A6132-6317-4795-B4F6-090EA40C6007}"/>
    <cellStyle name="Horizontal 4 2" xfId="1058" xr:uid="{6AE83CBD-21E0-4E85-A08B-43FA68C3DD63}"/>
    <cellStyle name="Horizontal 4 3" xfId="1116" xr:uid="{7FBE0A80-8B03-42AC-8324-AB857C4F1DD4}"/>
    <cellStyle name="Horizontal 4 4" xfId="1162" xr:uid="{1CFC86C8-E75A-4AA1-A6D7-270914F4FEF5}"/>
    <cellStyle name="IDG&quot;5&quot;" xfId="202" xr:uid="{6DFAE26A-A328-423E-90CC-966AB4CDB0AE}"/>
    <cellStyle name="IDG&quot;5&quot; 2" xfId="564" xr:uid="{27716E49-E7F9-4159-BD24-C8ED0200B154}"/>
    <cellStyle name="IDG&quot;8&quot;" xfId="203" xr:uid="{96B5B5E2-617B-478B-A8DC-506B7DAD81EE}"/>
    <cellStyle name="IDG&quot;8&quot; 2" xfId="565" xr:uid="{7A6684B0-9586-47BD-ACF6-2B3CF33C0525}"/>
    <cellStyle name="Inact-Current" xfId="204" xr:uid="{41F0C05A-3AC7-406B-A558-B50836DAD0D6}"/>
    <cellStyle name="Inact-Current 2" xfId="566" xr:uid="{6DFB56FF-D984-4728-A4B2-73B49E7ED858}"/>
    <cellStyle name="Inact-Current 2 2" xfId="853" xr:uid="{852A823C-C0FB-4E61-839A-D9FD032CD5AF}"/>
    <cellStyle name="Inact-Current 2 3" xfId="813" xr:uid="{9CC33AA5-2955-46C0-877F-9A39CAEA86AC}"/>
    <cellStyle name="Inact-Current 2 3 2" xfId="1025" xr:uid="{44A906F4-90F2-4FA4-B672-4F5A5314CFCD}"/>
    <cellStyle name="Inact-Current 2 3 3" xfId="1078" xr:uid="{310994CC-1A54-4EE6-8F09-052213206446}"/>
    <cellStyle name="Inact-Current 2 3 4" xfId="1139" xr:uid="{13473202-0471-4DDA-8657-A79CE35F5E20}"/>
    <cellStyle name="Inact-Current 3" xfId="780" xr:uid="{91745212-F0CD-47FB-9AF1-E2A5B8AE3812}"/>
    <cellStyle name="Inact-Current 4" xfId="795" xr:uid="{F8C72C0C-F2A3-4BA5-B574-4BF39E7E1914}"/>
    <cellStyle name="Inact-Current 5" xfId="849" xr:uid="{5D5E6498-4F19-4E79-B98A-24E5A2C23D3B}"/>
    <cellStyle name="Inact-Current 5 2" xfId="1043" xr:uid="{55DEAEE3-418D-4B84-846B-12DE5DE61D0F}"/>
    <cellStyle name="Inact-Current 5 3" xfId="1099" xr:uid="{6207C911-16F1-491C-A244-F670DA264C81}"/>
    <cellStyle name="Inact-Current 5 4" xfId="1150" xr:uid="{E588BE3C-35C0-49F2-A357-90D6480EDB80}"/>
    <cellStyle name="Inact-Future" xfId="205" xr:uid="{B0B72B2F-0E73-43DE-87F2-2AD852471898}"/>
    <cellStyle name="Inact-Future 2" xfId="567" xr:uid="{C0C78A50-95E9-4D2E-872A-C1A99B910B25}"/>
    <cellStyle name="Inact-Future 2 2" xfId="740" xr:uid="{0E7126DE-91CA-4F6B-BA61-40E05E43C6EF}"/>
    <cellStyle name="Inact-Future 2 3" xfId="901" xr:uid="{4352B2E6-F205-47C7-A1D7-F43ACD400681}"/>
    <cellStyle name="Inact-Future 2 3 2" xfId="1065" xr:uid="{A9B81F0F-C23D-4828-ADC7-4267054FCA32}"/>
    <cellStyle name="Inact-Future 2 3 3" xfId="1122" xr:uid="{EAA1AAC0-89B8-4785-86AB-C3253AA450F2}"/>
    <cellStyle name="Inact-Future 2 3 4" xfId="1168" xr:uid="{DD73566F-45EA-4258-B26E-DDAE306071E0}"/>
    <cellStyle name="Inact-Future 3" xfId="781" xr:uid="{45CD81B5-FC11-4263-8678-9C3A02985B7D}"/>
    <cellStyle name="Inact-Future 4" xfId="886" xr:uid="{E282C8D6-BA78-46C3-8EA3-30200038539B}"/>
    <cellStyle name="Inact-Future 5" xfId="883" xr:uid="{08B9E977-72A9-4D2B-9224-1433D3BE8253}"/>
    <cellStyle name="Inact-Future 5 2" xfId="1059" xr:uid="{FCC4310C-EFF4-4EE6-B107-07B90A8977D6}"/>
    <cellStyle name="Inact-Future 5 3" xfId="1117" xr:uid="{D5C68FC0-5643-462F-8F7D-641285102964}"/>
    <cellStyle name="Inact-Future 5 4" xfId="1163" xr:uid="{47669AF2-5B23-434F-8432-5A820A11D521}"/>
    <cellStyle name="Inpdate" xfId="206" xr:uid="{13548524-09FC-416E-8A23-77D6AA697984}"/>
    <cellStyle name="Inpdate 2" xfId="568" xr:uid="{AD9C2F21-AF1F-45E5-BDB6-9E7299804A57}"/>
    <cellStyle name="Inpdate 2 2" xfId="852" xr:uid="{C1C117FF-A00D-4C49-BDC8-921C024F63F4}"/>
    <cellStyle name="Inpdate 2 3" xfId="828" xr:uid="{44B84357-1675-4B77-B4A4-61219647D20C}"/>
    <cellStyle name="Inpdate 2 3 2" xfId="1031" xr:uid="{43E1371A-5BC3-41CD-8ED9-4C946A82C8A6}"/>
    <cellStyle name="Inpdate 2 3 3" xfId="1086" xr:uid="{51F9DE4D-8A89-497B-883B-5122750ADEF1}"/>
    <cellStyle name="Inpdate 2 3 4" xfId="1145" xr:uid="{7397972E-4EC0-4D6D-B151-04115A28D57E}"/>
    <cellStyle name="Inpdate 3" xfId="782" xr:uid="{A386E669-1B0B-4641-8924-3510B80D3815}"/>
    <cellStyle name="Inpdate 4" xfId="794" xr:uid="{C27EDD1A-5E02-402C-BC05-0DF346595A6D}"/>
    <cellStyle name="Inpdate 5" xfId="738" xr:uid="{00FEE37A-C62B-4FE6-B5B0-F4C3987C26BC}"/>
    <cellStyle name="Inpdate 5 2" xfId="1002" xr:uid="{D2ACF776-6F3D-4121-B284-8584558720F6}"/>
    <cellStyle name="Inpdate 5 3" xfId="974" xr:uid="{02805DB8-4250-4351-BEB0-D078EE84E5A1}"/>
    <cellStyle name="Inpdate 5 4" xfId="1012" xr:uid="{75DD9877-D217-4266-B897-87920010CC9B}"/>
    <cellStyle name="Inpdatelk" xfId="207" xr:uid="{F7A866B7-E73D-4A16-BF71-2E68C1CD50A6}"/>
    <cellStyle name="Inpdatelk 2" xfId="569" xr:uid="{3E7E4685-C931-4140-98C2-EED687C557A9}"/>
    <cellStyle name="Inpdatelk 2 2" xfId="739" xr:uid="{51664E8B-912F-4F76-AFC6-1B5279DF0AE9}"/>
    <cellStyle name="Inpdatelk 2 3" xfId="814" xr:uid="{3BAB3B3D-3EEA-46CD-84A9-990CC80DAE13}"/>
    <cellStyle name="Inpdatelk 2 3 2" xfId="1026" xr:uid="{A7E78321-3D4F-4697-AF13-5C4736B6B734}"/>
    <cellStyle name="Inpdatelk 2 3 3" xfId="1079" xr:uid="{7621F018-0782-4E95-B989-CD54BB2E7C9E}"/>
    <cellStyle name="Inpdatelk 2 3 4" xfId="1140" xr:uid="{55A2CD7F-6F76-4D46-998C-ECE910B88AC0}"/>
    <cellStyle name="Inpdatelk 3" xfId="783" xr:uid="{E5BA2E60-F963-48BC-B234-5B0828C4B5B9}"/>
    <cellStyle name="Inpdatelk 4" xfId="885" xr:uid="{FDCB84A4-6998-45AD-A7BE-3602B67FBAB1}"/>
    <cellStyle name="Inpdatelk 5" xfId="790" xr:uid="{9772E39E-7CD7-488F-8D49-4F1E87803CFA}"/>
    <cellStyle name="Inpdatelk 5 2" xfId="1019" xr:uid="{D34FDE2E-9A29-4ABD-BCC5-15118A231C2E}"/>
    <cellStyle name="Inpdatelk 5 3" xfId="963" xr:uid="{2FDF4C83-5885-4F28-996C-4F3785FC983A}"/>
    <cellStyle name="Inpdatelk 5 4" xfId="1135" xr:uid="{44463DF2-C16C-401F-9785-D02206FE913A}"/>
    <cellStyle name="Input - Style3" xfId="209" xr:uid="{A0991D81-B665-453C-9378-A519B47B0017}"/>
    <cellStyle name="Input - Style3 2" xfId="571" xr:uid="{478783E2-6FC5-421B-8D90-B93FDF9FB425}"/>
    <cellStyle name="Input - Style4" xfId="210" xr:uid="{8A5990E7-5D32-49F4-949D-575402E6DD02}"/>
    <cellStyle name="Input - Style4 2" xfId="572" xr:uid="{AEECBE35-4EA4-40F4-876A-1C06DA054C67}"/>
    <cellStyle name="Input - Style6" xfId="211" xr:uid="{619E548E-4B83-4AD5-9BA2-79213A1DE964}"/>
    <cellStyle name="Input - Style6 2" xfId="573" xr:uid="{6779ABB8-C78D-4ED5-8FDB-616148E37B92}"/>
    <cellStyle name="Input - Style7" xfId="212" xr:uid="{AB2CA8D6-8B3D-4599-BEBE-FE652880270F}"/>
    <cellStyle name="Input - Style7 2" xfId="574" xr:uid="{37B8E49B-80E4-4C27-9B20-D6C4F2F4AA89}"/>
    <cellStyle name="INPUT - Style8" xfId="213" xr:uid="{0B4CE675-34A0-4D29-AFA0-B8E205712041}"/>
    <cellStyle name="INPUT - Style8 2" xfId="575" xr:uid="{DCBA608D-8AD5-4990-901B-B1673AF14EFA}"/>
    <cellStyle name="Input [yellow]" xfId="214" xr:uid="{E5CBF055-EC38-4F57-BD25-9BCD57CB601B}"/>
    <cellStyle name="Input [yellow] 2" xfId="576" xr:uid="{4D99AA8D-0E23-4DA6-9D4B-A49FDE564E5B}"/>
    <cellStyle name="Input [yellow] 2 2" xfId="851" xr:uid="{C98252DE-B668-4778-AED8-885F8D922514}"/>
    <cellStyle name="Input [yellow] 2 3" xfId="830" xr:uid="{2D3526D3-6590-495A-8EBD-3270148F97F7}"/>
    <cellStyle name="Input [yellow] 2 3 2" xfId="1033" xr:uid="{C8BF1CAE-0348-4C49-BB85-3BDF42777058}"/>
    <cellStyle name="Input [yellow] 2 3 3" xfId="1088" xr:uid="{C0B36CA0-9721-41A8-8CC2-66F770DE28E4}"/>
    <cellStyle name="Input [yellow] 2 3 4" xfId="1146" xr:uid="{95713DDC-DA30-431B-AE75-51D771B4AB63}"/>
    <cellStyle name="Input [yellow] 3" xfId="787" xr:uid="{1A163A58-8E08-4971-8C8D-1E262B576276}"/>
    <cellStyle name="Input [yellow] 4" xfId="792" xr:uid="{9F2F785B-72F2-4C35-9ECE-A7C06F802247}"/>
    <cellStyle name="Input [yellow] 5" xfId="884" xr:uid="{9B5E0C31-A360-436C-A83A-F5895A98DF8C}"/>
    <cellStyle name="Input [yellow] 5 2" xfId="1060" xr:uid="{36F3A492-47AF-4CC0-8335-D5E661231438}"/>
    <cellStyle name="Input [yellow] 5 3" xfId="1118" xr:uid="{BA70EC49-ACF2-424D-936A-92F525E912C3}"/>
    <cellStyle name="Input [yellow] 5 4" xfId="1164" xr:uid="{4F44C2AF-0482-4676-824F-CD5D267657FB}"/>
    <cellStyle name="Input 2" xfId="208" xr:uid="{F793AC46-0514-4025-90D9-409110B7E73C}"/>
    <cellStyle name="Input 2 2" xfId="570" xr:uid="{96974774-421C-4976-B96D-A2151992B540}"/>
    <cellStyle name="Input 2 3" xfId="784" xr:uid="{F4FE3CC7-4ED2-4E05-A2E2-6F63AF773285}"/>
    <cellStyle name="Input 2 3 2" xfId="1015" xr:uid="{85FA16AC-B5CD-46BB-AAD4-87BE627813B5}"/>
    <cellStyle name="Input 2 3 3" xfId="966" xr:uid="{00F508B8-66EC-4AA3-A555-BC9D9711537E}"/>
    <cellStyle name="Input 2 4" xfId="793" xr:uid="{5996C6D5-C786-4E99-92D8-1C727AAA8BFD}"/>
    <cellStyle name="Input 2 4 2" xfId="926" xr:uid="{1388534F-2709-418E-9A0F-189273CA3A62}"/>
    <cellStyle name="Input 2 5" xfId="995" xr:uid="{E10229C2-88C4-4CEA-8657-563928F59E96}"/>
    <cellStyle name="Input 2 6" xfId="1023" xr:uid="{72498F37-707A-4836-8FC4-FB7374BB1B5F}"/>
    <cellStyle name="Input 2 7" xfId="1183" xr:uid="{611B7B95-5034-43BE-A718-A99CEC9C6EDD}"/>
    <cellStyle name="Input 3" xfId="399" xr:uid="{8D9BAFA3-0A62-4A28-905C-080577380EA0}"/>
    <cellStyle name="Input 3 2" xfId="716" xr:uid="{10AAB415-B953-4089-BB5B-7F1CFD6F11FC}"/>
    <cellStyle name="Input 3 3" xfId="835" xr:uid="{F9C69BE4-9D3B-4BFA-BCFB-310B8EBC1A22}"/>
    <cellStyle name="Input 3 3 2" xfId="1038" xr:uid="{D29B0E69-9DD9-4341-8681-3F594E224D4B}"/>
    <cellStyle name="Input 3 3 3" xfId="1091" xr:uid="{F2C95CF9-1EA5-49E4-A107-B5AE0094D893}"/>
    <cellStyle name="Input 3 4" xfId="869" xr:uid="{C5EF66C2-821D-49C7-9887-C3D17D28C7C9}"/>
    <cellStyle name="Input 3 4 2" xfId="1104" xr:uid="{3A1D4ACD-F58C-4AE1-838C-13C309A59306}"/>
    <cellStyle name="Input 3 5" xfId="985" xr:uid="{924A82AF-C191-48B8-8BD2-784357308062}"/>
    <cellStyle name="Input 3 6" xfId="991" xr:uid="{7E88AC75-6D3C-4943-A21B-A1887CF94B02}"/>
    <cellStyle name="Input 3 7" xfId="1191" xr:uid="{9F41C149-2FE0-45CD-ADE6-D8418BCB36AE}"/>
    <cellStyle name="Input 4" xfId="397" xr:uid="{B0BF60BE-2A2E-4496-9818-5780203E0EFE}"/>
    <cellStyle name="Input 4 2" xfId="714" xr:uid="{A35D28E2-C43E-481E-8AB9-E6BA870EA158}"/>
    <cellStyle name="Input 4 3" xfId="833" xr:uid="{EA611569-C008-4F93-B00E-34F05532833B}"/>
    <cellStyle name="Input 4 3 2" xfId="1036" xr:uid="{DA822046-80FC-4433-A33D-54E18F268A37}"/>
    <cellStyle name="Input 4 3 3" xfId="1089" xr:uid="{E930DBAD-D2AE-4B01-A633-FD6E79504DF1}"/>
    <cellStyle name="Input 4 4" xfId="870" xr:uid="{50CE6345-DFA3-4951-BDB0-FD6C950AED8E}"/>
    <cellStyle name="Input 4 4 2" xfId="1105" xr:uid="{F4950186-B2F6-4F18-A9C7-144D4B2E5003}"/>
    <cellStyle name="Input 4 5" xfId="986" xr:uid="{99D0DE42-A7BE-4BA5-A4F2-305B9A59F298}"/>
    <cellStyle name="Input 4 6" xfId="949" xr:uid="{6ABDB188-5E10-490E-9788-4BF559513B3E}"/>
    <cellStyle name="Input 4 7" xfId="1190" xr:uid="{E84DA01E-60A7-4E60-827A-D23BFAE790E1}"/>
    <cellStyle name="Input 5" xfId="400" xr:uid="{FCB8D1C9-633E-4B62-AF17-A894F6179DAB}"/>
    <cellStyle name="Input 5 2" xfId="717" xr:uid="{FEEE403D-FDAF-47D8-806A-E98F2A0202C8}"/>
    <cellStyle name="Input 5 3" xfId="836" xr:uid="{239E2C87-3ABB-4871-9697-1A5D4F4D4D9C}"/>
    <cellStyle name="Input 5 3 2" xfId="1039" xr:uid="{D74DC378-E4CA-4F1A-B4D8-05EF70522EF6}"/>
    <cellStyle name="Input 5 3 3" xfId="1092" xr:uid="{00C8F089-7CB0-4776-93AD-E707D233EC73}"/>
    <cellStyle name="Input 5 4" xfId="772" xr:uid="{74534D7A-0CE0-4266-A719-7E80DBD97084}"/>
    <cellStyle name="Input 5 4 2" xfId="969" xr:uid="{2B4701DD-7455-47EA-95E7-E8D6262B17DC}"/>
    <cellStyle name="Input 5 5" xfId="940" xr:uid="{1AA1E790-3E80-468C-B837-A41044260D52}"/>
    <cellStyle name="Input 6" xfId="398" xr:uid="{B3650C3A-0EBD-4354-886A-055B60A63C0F}"/>
    <cellStyle name="Input 6 2" xfId="715" xr:uid="{E5C240D5-9EB1-41DB-AD4E-00747407A163}"/>
    <cellStyle name="Input 6 3" xfId="834" xr:uid="{2992EEC2-EA4F-471B-9DFD-AC8F4F896ECB}"/>
    <cellStyle name="Input 6 3 2" xfId="1037" xr:uid="{1F08963E-87A2-426D-AB16-9D306A830C3C}"/>
    <cellStyle name="Input 6 3 3" xfId="1090" xr:uid="{F90FD3CC-FF20-4DCC-A0FA-C68EE486117D}"/>
    <cellStyle name="Input 6 4" xfId="773" xr:uid="{C9CC0F00-E091-42AA-B95A-F142AA0CB8D6}"/>
    <cellStyle name="Input 6 4 2" xfId="931" xr:uid="{E8CB9449-F309-4CEE-AE65-2219B4C1172F}"/>
    <cellStyle name="Input 6 5" xfId="941" xr:uid="{D89B5942-1423-40A5-9CEB-171918999865}"/>
    <cellStyle name="Input Cells" xfId="215" xr:uid="{3009EAC8-F7F8-4074-BA51-254E2DD89C4D}"/>
    <cellStyle name="Input Cells 2" xfId="577" xr:uid="{BEDE675A-AFC5-415C-8EAA-55788530C392}"/>
    <cellStyle name="Inputaccnumpas" xfId="216" xr:uid="{32AC70E9-A199-4DD7-A0A8-3E21CA644197}"/>
    <cellStyle name="Inputaccnumpas 2" xfId="578" xr:uid="{2975F36D-E8F1-4036-A441-7F6CB19E1025}"/>
    <cellStyle name="Inputaccnumpaslk" xfId="217" xr:uid="{CAA0C29D-544C-4555-9929-2DE9C18AD764}"/>
    <cellStyle name="Inputaccnumpaslk 2" xfId="579" xr:uid="{C694C3B5-BB88-4198-A4FB-C0B202BD73EB}"/>
    <cellStyle name="Inputaccnumpz" xfId="218" xr:uid="{5EA58B8D-4E26-4B7B-AC3A-926C561704FB}"/>
    <cellStyle name="Inputaccnumpz 2" xfId="580" xr:uid="{4513C24C-1080-4E73-AC76-14AD4EC7881D}"/>
    <cellStyle name="Inputbsdate" xfId="219" xr:uid="{9D25FE67-CF8F-42B4-AA93-4A5C9FB2476E}"/>
    <cellStyle name="Inputbsdate 2" xfId="581" xr:uid="{0E170A37-5F86-4D4F-8AE8-FC77D722123D}"/>
    <cellStyle name="Inputdate" xfId="220" xr:uid="{4D41518B-A161-47C5-AB12-698F2EE91380}"/>
    <cellStyle name="Inputdate 2" xfId="582" xr:uid="{6718DC39-7CC8-4981-8D0B-DE404C0CC4A8}"/>
    <cellStyle name="Inputdatelk" xfId="221" xr:uid="{523686FA-D022-4559-98D5-952EEFB6C8D7}"/>
    <cellStyle name="Inputdatelk 2" xfId="583" xr:uid="{09A38903-DC6F-430C-B482-2E51E2B3E728}"/>
    <cellStyle name="Inputexplain" xfId="222" xr:uid="{6CDEE141-EFFF-4973-BB4C-2C46D1B09DE2}"/>
    <cellStyle name="Inputexplain 2" xfId="584" xr:uid="{A5189A7F-38AF-4486-832D-62EACE35C5AC}"/>
    <cellStyle name="Inputexplainlk" xfId="223" xr:uid="{36811E8B-E216-4C0D-94A8-ED5AF1098B02}"/>
    <cellStyle name="Inputexplainlk 2" xfId="585" xr:uid="{68379A84-491B-4581-9C55-B85B2153543F}"/>
    <cellStyle name="Inputfigsc" xfId="224" xr:uid="{91D91FCC-35A7-4D8F-8C07-000456D87393}"/>
    <cellStyle name="Inputfigsc 2" xfId="586" xr:uid="{01F6F485-AF15-4171-8595-F47E80066DD2}"/>
    <cellStyle name="InputL - Style6" xfId="225" xr:uid="{1301A2F1-6149-41AE-9240-9C224601B92F}"/>
    <cellStyle name="InputL - Style6 2" xfId="587" xr:uid="{B5319CA9-2F27-4644-B592-58F77CCED7B9}"/>
    <cellStyle name="Inputname" xfId="226" xr:uid="{1FD1EEA0-E804-420F-8872-AD90D594B6CF}"/>
    <cellStyle name="Inputname 2" xfId="588" xr:uid="{CC543B8F-7337-42C1-8CD8-2CBA0D80E405}"/>
    <cellStyle name="Inputnamecypt10" xfId="227" xr:uid="{0EB3FE66-38B6-421E-9472-DC4180825026}"/>
    <cellStyle name="Inputnamecypt10 2" xfId="589" xr:uid="{AACABCEC-A57C-45C0-B0FF-C0A5563308B9}"/>
    <cellStyle name="Inputnamecypt12" xfId="228" xr:uid="{30D2B568-5890-4B4D-971A-617141C587D9}"/>
    <cellStyle name="Inputnamecypt12 2" xfId="590" xr:uid="{6B0A5D59-91DF-49B4-BC4F-DABF1E08BFFB}"/>
    <cellStyle name="Inputnumbacc" xfId="229" xr:uid="{746CD22A-203D-41D2-9A16-AC55CD4690FF}"/>
    <cellStyle name="Inputnumbacc 2" xfId="591" xr:uid="{79CB91B0-7FDE-46B9-B6DA-2B47FE5AE434}"/>
    <cellStyle name="Inputnumbaccid" xfId="230" xr:uid="{AC3D622F-D918-4F31-959B-BFDF87B70320}"/>
    <cellStyle name="Inputnumbaccid 2" xfId="592" xr:uid="{E27F079A-C113-4BF7-9747-8952BA509FC1}"/>
    <cellStyle name="Inputnumbaccpt" xfId="231" xr:uid="{545227AB-CC8E-4433-B84E-1E9A96860F29}"/>
    <cellStyle name="Inputnumbaccpt 2" xfId="593" xr:uid="{C4793EBE-5670-4AC5-BF02-76F39F100941}"/>
    <cellStyle name="Inputnumbaccpttl" xfId="232" xr:uid="{B9FE21FB-D1FD-42F7-87D7-6BE8BAC2FDE9}"/>
    <cellStyle name="Inputnumbaccpttl 2" xfId="594" xr:uid="{BB038BB4-80E9-4A65-B662-6ACC474E1606}"/>
    <cellStyle name="Inputnumbaccyuz" xfId="233" xr:uid="{54C8C0E5-1394-43CA-8D84-28EDBAE9DEB6}"/>
    <cellStyle name="Inputnumbaccyuz 2" xfId="595" xr:uid="{109C3F7A-9085-494A-A5F3-5E15C7E2C137}"/>
    <cellStyle name="Inputnumber" xfId="234" xr:uid="{79858BE8-67C8-4FC0-A9DF-AB765769B0DC}"/>
    <cellStyle name="Inputnumber 2" xfId="596" xr:uid="{23E8235D-C117-4FB7-B575-5FEC1F4C4A1D}"/>
    <cellStyle name="Inputnumberpt" xfId="235" xr:uid="{A0FE332C-CCCF-431D-B43F-F63C3CE7E228}"/>
    <cellStyle name="Inputnumberpt 2" xfId="597" xr:uid="{93FB042A-2E74-4895-AD55-ABFB5C83F65C}"/>
    <cellStyle name="Inputpresentlk" xfId="236" xr:uid="{A4A14C57-1C2B-4C54-AF6A-5ED11107D587}"/>
    <cellStyle name="Inputpresentlk 2" xfId="598" xr:uid="{C2CC9440-FF41-4E13-A83A-8FFF119F4A91}"/>
    <cellStyle name="Inputyearlk" xfId="237" xr:uid="{502B6889-B032-4FFD-B3F4-FCEE505FD83D}"/>
    <cellStyle name="Inputyearlk 2" xfId="599" xr:uid="{C73F8231-DA60-424B-81D0-B663BA446AD1}"/>
    <cellStyle name="Ivan" xfId="238" xr:uid="{B4380593-DBA3-4F10-8392-BE305AF6E667}"/>
    <cellStyle name="Ivan 2" xfId="600" xr:uid="{DC3023ED-F7E6-40B5-B488-84448EB70C3A}"/>
    <cellStyle name="Ivan 2 2" xfId="821" xr:uid="{FCEEAC4B-67DE-4F5F-9BE8-906B9D27C662}"/>
    <cellStyle name="Ivan 2 3" xfId="989" xr:uid="{1D2AECB6-579C-4D2C-A3A7-5177DE402610}"/>
    <cellStyle name="Ivan 3" xfId="791" xr:uid="{C990427D-16A6-4EC9-A52E-C1BCA20A2D1F}"/>
    <cellStyle name="Ivan 3 2" xfId="1020" xr:uid="{836E789C-C9C7-45DA-8CF3-DB0EF5750D4E}"/>
    <cellStyle name="Ivan 4" xfId="850" xr:uid="{8212DE78-F57B-497E-BAC9-942A61D353D4}"/>
    <cellStyle name="Ivan 5" xfId="1184" xr:uid="{994159B9-7CC2-4195-8930-8ED2BA6BA3FF}"/>
    <cellStyle name="Îáû÷íûé_PERSONAL" xfId="239" xr:uid="{D2CD1209-9A26-4072-9CFD-4C18527C2A30}"/>
    <cellStyle name="İzlenen Köprü" xfId="240" xr:uid="{B42E18AA-5916-4805-82DB-6CC965093FD8}"/>
    <cellStyle name="İzlenen Köprü 2" xfId="601" xr:uid="{521F0F51-C06B-43FA-99FD-2B0473D64E99}"/>
    <cellStyle name="Jomma [0]_laroux_mud plant bolted_laroux" xfId="241" xr:uid="{8D2BF8C6-646E-477C-BBD1-AD5F0575B0CF}"/>
    <cellStyle name="Kop1 - Style4" xfId="242" xr:uid="{10334B07-6185-4519-9364-C7206B582EB9}"/>
    <cellStyle name="Kop1 - Style4 2" xfId="602" xr:uid="{56DE355D-B4FF-4C54-A8A9-5586468A0867}"/>
    <cellStyle name="KOP1 - Style6" xfId="243" xr:uid="{BBB23813-569B-4871-B65F-CB31E23A664E}"/>
    <cellStyle name="KOP1 - Style6 2" xfId="603" xr:uid="{677F7293-2E31-4819-828C-2E66F1917192}"/>
    <cellStyle name="Kop1 - Style8" xfId="244" xr:uid="{BB7F22AF-D01E-49F0-BEF4-A506FAE9541D}"/>
    <cellStyle name="Kop1 - Style8 2" xfId="604" xr:uid="{8C4FDEEA-3C1B-4D5F-9CFA-17D28B601423}"/>
    <cellStyle name="Kop2 - Style3" xfId="245" xr:uid="{A4C56D57-22D9-4C2B-B47D-D8319BBA66DD}"/>
    <cellStyle name="Kop2 - Style3 2" xfId="605" xr:uid="{FD7CBCD9-A9F2-4444-913B-9E378BC9338B}"/>
    <cellStyle name="Kop2 - Style5" xfId="246" xr:uid="{0BD87725-D52D-4E28-891D-3F4A9370254E}"/>
    <cellStyle name="Kop2 - Style5 2" xfId="606" xr:uid="{6BF6C505-E5FE-4138-9DC1-FC05ECAAB790}"/>
    <cellStyle name="KOP2 - Style7" xfId="247" xr:uid="{BE5FDA99-BCAF-427B-A4EE-3839B3A4F722}"/>
    <cellStyle name="KOP2 - Style7 2" xfId="607" xr:uid="{1E8B74A0-985C-4258-845D-690EE151872A}"/>
    <cellStyle name="Köprü" xfId="248" xr:uid="{0EB5C2D7-3F65-4709-A7B2-B85BE1CA978B}"/>
    <cellStyle name="Köprü 2" xfId="608" xr:uid="{7BD31673-6BC0-445A-8D12-B429B176F324}"/>
    <cellStyle name="layout print" xfId="249" xr:uid="{ADBB3C72-9C15-4C25-8AF6-E6009BDDECA5}"/>
    <cellStyle name="layout print 2" xfId="609" xr:uid="{73BF70B5-38B4-4FED-8241-A61BAD635D95}"/>
    <cellStyle name="left" xfId="250" xr:uid="{5BAC5D50-817B-4CE6-8A1B-08E3541CBBFE}"/>
    <cellStyle name="Left - Style7" xfId="251" xr:uid="{B334C8A2-02C9-4DBD-A75D-472A407E6A67}"/>
    <cellStyle name="Left - Style7 2" xfId="610" xr:uid="{70E7C59B-D273-4776-B598-9F7FADE80367}"/>
    <cellStyle name="Link Currency (0)" xfId="252" xr:uid="{C3B161BE-E781-43B5-8FE9-5B83E08DC995}"/>
    <cellStyle name="Link Currency (0) 2" xfId="611" xr:uid="{883E06CF-A790-4BE0-8EC0-79AE79460692}"/>
    <cellStyle name="Link Currency (2)" xfId="253" xr:uid="{2FF54F23-E854-4443-AE81-A35C4AFC31E0}"/>
    <cellStyle name="Link Currency (2) 2" xfId="612" xr:uid="{66E8F2E3-F212-4B46-92B9-76EC9ABFA580}"/>
    <cellStyle name="Link Units (0)" xfId="254" xr:uid="{1FA9DDDD-1D63-4ABF-8960-FE191A9DD5A6}"/>
    <cellStyle name="Link Units (0) 2" xfId="613" xr:uid="{D377A114-E44B-49C8-AF7D-06889A9C5054}"/>
    <cellStyle name="Link Units (1)" xfId="255" xr:uid="{57F553D1-0AAC-4272-B578-A2E573D7DC9A}"/>
    <cellStyle name="Link Units (1) 2" xfId="614" xr:uid="{E92492E9-10CF-41EB-BAEE-6BDAF1C96318}"/>
    <cellStyle name="Link Units (2)" xfId="256" xr:uid="{0B744C0F-C7CB-4C1C-95DC-ED9621A7673A}"/>
    <cellStyle name="Link Units (2) 2" xfId="615" xr:uid="{4C622810-C66A-4D81-9C0B-1206E892AEFA}"/>
    <cellStyle name="Linked Cell 2" xfId="257" xr:uid="{B8BF4244-F2AE-4AA8-B3CA-A4E230355492}"/>
    <cellStyle name="Linked Cell 2 2" xfId="616" xr:uid="{DB932FE6-82B7-475A-9616-8CD0FCBB7C39}"/>
    <cellStyle name="Linked Cells" xfId="258" xr:uid="{BAF53574-A2D8-4A9E-AD21-5185E3AAA695}"/>
    <cellStyle name="Linked Cells 2" xfId="617" xr:uid="{9A7BAB7A-3665-4CED-89E2-5ADFC67EE97E}"/>
    <cellStyle name="Lynbot - Style7" xfId="259" xr:uid="{758D591D-14C4-4918-839F-3666068B1046}"/>
    <cellStyle name="Lynbot - Style7 2" xfId="618" xr:uid="{74D7337E-A928-4636-BC12-7ADDC1070520}"/>
    <cellStyle name="Lyntop - Style5" xfId="260" xr:uid="{C249E193-C5C7-4BE5-AB85-73C1D96B3AE3}"/>
    <cellStyle name="Lyntop - Style5 2" xfId="619" xr:uid="{0E915B56-E6B0-4A09-963D-B99DC79F3BFE}"/>
    <cellStyle name="Lyntop - Style6" xfId="261" xr:uid="{78186169-6332-424F-91F4-F9C47B9E5719}"/>
    <cellStyle name="Lyntop - Style6 2" xfId="620" xr:uid="{6F9FCF18-0CE9-4662-8F5D-CCC9BC245C18}"/>
    <cellStyle name="lyntop - Style8" xfId="262" xr:uid="{11989128-5DB6-43E1-9502-809D4D8FEB4D}"/>
    <cellStyle name="lyntop - Style8 2" xfId="621" xr:uid="{2364BD31-88BD-4A41-A4E6-1756CFA0C6FE}"/>
    <cellStyle name="M/D" xfId="263" xr:uid="{3BAC41F8-2FCB-405B-B5E6-3237BCD9A01C}"/>
    <cellStyle name="M/D 2" xfId="622" xr:uid="{F6EF9B64-DF5F-49E3-833E-E9DE4D033F22}"/>
    <cellStyle name="MAINHEADER" xfId="264" xr:uid="{4FF49F9B-FAF5-44B1-A255-1CB0A4C52833}"/>
    <cellStyle name="MARKA" xfId="265" xr:uid="{D7874D05-4D48-45F3-A174-336CCC46D685}"/>
    <cellStyle name="Matrix" xfId="266" xr:uid="{25A485B2-F560-453F-BFBC-4D8FA92C5CB5}"/>
    <cellStyle name="Matrix 2" xfId="623" xr:uid="{5A44C8E9-7655-46E0-963B-A6D51416D7BB}"/>
    <cellStyle name="Migliaia (0)" xfId="267" xr:uid="{B48245E2-E974-4A87-8B68-BD927AAA8616}"/>
    <cellStyle name="Migliaia_tav1" xfId="268" xr:uid="{4E013401-4625-442B-A3E1-A89B7B1129DF}"/>
    <cellStyle name="Milliers [0]_!!!GO" xfId="269" xr:uid="{86E35146-F387-4873-9CAB-5806BD22E3C3}"/>
    <cellStyle name="Milliers_!!!GO" xfId="270" xr:uid="{CDB08BEC-315C-4AFE-8597-5246BE37461B}"/>
    <cellStyle name="MM/DD" xfId="271" xr:uid="{6C109FBE-B144-4184-8701-F646972CFE1D}"/>
    <cellStyle name="MM/DD 2" xfId="624" xr:uid="{780A8178-4418-4FB2-8C41-912BC9FAFBF1}"/>
    <cellStyle name="MM/YY" xfId="272" xr:uid="{BBCA593D-8BDB-4ECA-A78C-B98CB0056251}"/>
    <cellStyle name="MM/YY 2" xfId="625" xr:uid="{050AFEEB-7DD1-4E63-B68E-9A3F70D466A9}"/>
    <cellStyle name="MMM 'YY" xfId="273" xr:uid="{68BA5519-754D-4237-B9B5-22632B1496DD}"/>
    <cellStyle name="MMM 'YY 2" xfId="626" xr:uid="{7FFFD3BE-8920-4C6D-AF84-6B6FB7678695}"/>
    <cellStyle name="MODEL" xfId="274" xr:uid="{42E12E6F-9941-4068-A592-A3ED83637493}"/>
    <cellStyle name="Monétaire [0]_!!!GO" xfId="275" xr:uid="{65A2AC74-9A38-4052-B34F-5B8E7C978963}"/>
    <cellStyle name="Monétaire_!!!GO" xfId="276" xr:uid="{C729EC04-E706-4DAF-AFD4-05AC155A82DC}"/>
    <cellStyle name="M-W" xfId="277" xr:uid="{479D3F50-8746-401B-9A7F-4A1C8FC99736}"/>
    <cellStyle name="M-W 2" xfId="627" xr:uid="{55377D82-C4D0-4889-80AD-F5C41EDECB8D}"/>
    <cellStyle name="Neutral 2" xfId="278" xr:uid="{87DDF4F9-3543-4A8A-A876-4B0D951350B7}"/>
    <cellStyle name="Neutral 2 2" xfId="628" xr:uid="{982459FD-9C48-4DA1-8069-E8B621651C44}"/>
    <cellStyle name="no dec" xfId="279" xr:uid="{A92A756A-9690-477F-817C-0135C4F4CB89}"/>
    <cellStyle name="Norma - Style1" xfId="280" xr:uid="{CBBAA82B-F934-4761-A22A-6C5E188CAF4C}"/>
    <cellStyle name="Norma - Style1 2" xfId="629" xr:uid="{5D164535-0C21-4BED-86D9-6E8A5183C1D9}"/>
    <cellStyle name="Norma - Style2" xfId="281" xr:uid="{60E7B1EE-A1E5-468E-9CDE-264696A4A046}"/>
    <cellStyle name="Norma - Style2 2" xfId="630" xr:uid="{6E7B45E7-4396-429E-B416-FC7FE74E7E06}"/>
    <cellStyle name="Norma - Style3" xfId="282" xr:uid="{4A1D8F49-AEF3-4C69-BE84-670FBFA8A0A7}"/>
    <cellStyle name="Norma - Style3 2" xfId="631" xr:uid="{804CE96A-4E01-4E32-B725-163444217CC5}"/>
    <cellStyle name="Norma - Style6" xfId="283" xr:uid="{85F7D6F5-C206-4DC8-A705-98173BA51B30}"/>
    <cellStyle name="Norma - Style6 2" xfId="632" xr:uid="{3B6181E3-91C5-4540-873B-B9E2049A590E}"/>
    <cellStyle name="Norma - Style7" xfId="284" xr:uid="{752D6E48-26F4-4A0E-AE17-BCC98A34C5CB}"/>
    <cellStyle name="Norma - Style7 2" xfId="633" xr:uid="{AA1A7773-DFC4-49BB-8F74-1880CAFB583B}"/>
    <cellStyle name="Norma - Style8" xfId="285" xr:uid="{938358EF-B70B-4CA5-905F-5B99D19AE716}"/>
    <cellStyle name="Norma - Style8 2" xfId="634" xr:uid="{ADB2AE0A-465C-4D8D-A265-816848F86179}"/>
    <cellStyle name="Normal" xfId="0" builtinId="0"/>
    <cellStyle name="Normal - Style1" xfId="286" xr:uid="{4A588700-5A08-49B7-BCB9-5A8CB6234C5D}"/>
    <cellStyle name="Normal - Style1 2" xfId="635" xr:uid="{F5F37C10-6333-47E0-83F1-938D83CFD20E}"/>
    <cellStyle name="Normal 10" xfId="389" xr:uid="{64406BBA-811F-4C1F-AADE-C223E226F6DA}"/>
    <cellStyle name="Normal 11" xfId="413" xr:uid="{6E55E271-7875-4ED8-843D-5BB0E1B83C51}"/>
    <cellStyle name="Normal 12" xfId="730" xr:uid="{7A5C7AA2-0941-4020-81F1-AB69685E4B69}"/>
    <cellStyle name="Normal 13" xfId="729" xr:uid="{99A69D32-6D3E-4D16-90EA-78EF5C4A80B9}"/>
    <cellStyle name="Normal 14" xfId="903" xr:uid="{4F149352-9A13-42D9-A4AF-1635FCD90772}"/>
    <cellStyle name="Normal 15" xfId="775" xr:uid="{82F2C319-40C0-46E3-A288-559C8FC8FEF3}"/>
    <cellStyle name="Normal 16" xfId="918" xr:uid="{6713BCC0-88DA-48DA-96E8-80D4102174E2}"/>
    <cellStyle name="Normal 17" xfId="921" xr:uid="{C2FA6270-AC5B-4F5B-B541-2B409703FDDC}"/>
    <cellStyle name="Normal 18" xfId="895" xr:uid="{3B3E9AF7-D017-4CAF-B1D8-F5E1D550E3F6}"/>
    <cellStyle name="Normal 19" xfId="1" xr:uid="{D69FC99D-E6DB-4E9F-B379-C3C5AF0EF7D3}"/>
    <cellStyle name="Normal 2" xfId="8" xr:uid="{7E278518-7F89-4202-8845-A554902D6935}"/>
    <cellStyle name="Normal 2 2" xfId="14" xr:uid="{1A84687E-5F33-4C3D-9D55-0ED14AA1D07D}"/>
    <cellStyle name="Normal 2 2 2" xfId="386" xr:uid="{EDC8BBF6-8510-4405-B0FB-ABD0E6C46D16}"/>
    <cellStyle name="Normal 2 2 2 2" xfId="706" xr:uid="{081F5B84-C295-4FD8-9738-334572A168D4}"/>
    <cellStyle name="Normal 2 3" xfId="16" xr:uid="{E3E858C9-CD60-457D-8629-35790434F45C}"/>
    <cellStyle name="Normal 2 4" xfId="287" xr:uid="{7F4A5261-9D17-4EC4-B8B6-9DBB66FFE4E5}"/>
    <cellStyle name="Normal 2 4 2" xfId="636" xr:uid="{1A9A4E24-AD18-4DF5-BAE5-832FFB67758A}"/>
    <cellStyle name="Normal 20" xfId="922" xr:uid="{64A7E088-BFC3-4E71-B0FD-22AC066AD141}"/>
    <cellStyle name="Normal 21" xfId="959" xr:uid="{F06CFF60-8A42-42DB-8BDB-CA03BF409422}"/>
    <cellStyle name="Normal 22" xfId="957" xr:uid="{9BA67E1B-B61F-4BEB-BA3D-2815BCD84F16}"/>
    <cellStyle name="Normal 23" xfId="1176" xr:uid="{B78C90D0-C06F-4807-9659-F1206702704C}"/>
    <cellStyle name="Normal 24" xfId="1189" xr:uid="{37815DA2-93B9-4753-89EF-0189BBE24CEA}"/>
    <cellStyle name="Normal 25" xfId="1179" xr:uid="{815E0A74-D1E2-4BC6-AA57-F9740849505A}"/>
    <cellStyle name="Normal 26" xfId="1187" xr:uid="{14534482-D7C0-4892-9655-1BD175FC46FA}"/>
    <cellStyle name="Normal 3" xfId="10" xr:uid="{1903069D-6511-4A2E-A3F8-AAD5D613B6C6}"/>
    <cellStyle name="Normal 3 2" xfId="288" xr:uid="{DAE2F9B3-8D7F-47EA-AD0C-279E3F3AF44B}"/>
    <cellStyle name="Normal 3 2 2" xfId="637" xr:uid="{1EC26152-CF31-4E1A-8595-0A94E510EBAF}"/>
    <cellStyle name="Normal 3 2 2 2" xfId="888" xr:uid="{EEDDFEF2-9B4F-4E8B-B29F-180C1784FAB5}"/>
    <cellStyle name="Normal 4" xfId="11" xr:uid="{5030F1DD-1411-4D73-A820-DD5C8D8D551C}"/>
    <cellStyle name="Normal 4 2" xfId="385" xr:uid="{DE63CD90-202B-4A8D-83F6-7E86D2C7CFD1}"/>
    <cellStyle name="Normal 4 2 2" xfId="705" xr:uid="{682A42E0-8B58-4532-9F6B-28E47A6162B4}"/>
    <cellStyle name="Normal 4 2 2 2" xfId="904" xr:uid="{0DE6710D-D5EE-4860-8B71-5D26E6C95065}"/>
    <cellStyle name="Normal 4 2 3" xfId="826" xr:uid="{FA4642F6-0625-4C36-A2C6-4E0F9EEB25BA}"/>
    <cellStyle name="Normal 5" xfId="12" xr:uid="{0EC0D382-96BC-4A26-B1EB-D9A657414702}"/>
    <cellStyle name="Normal 5 2" xfId="387" xr:uid="{CFAC870B-AE97-4042-A602-106FCB902A9D}"/>
    <cellStyle name="Normal 5 3" xfId="416" xr:uid="{18D58C9F-3490-4DAB-88A2-446CBF752FA7}"/>
    <cellStyle name="Normal 5 3 2" xfId="845" xr:uid="{45DCFB40-27DB-4CF9-83D9-90117D1BB3DD}"/>
    <cellStyle name="Normal 6" xfId="7" xr:uid="{93C36BCD-BA37-4289-A313-723A4B1AE7EC}"/>
    <cellStyle name="Normal 6 2" xfId="414" xr:uid="{2DA04AC5-C2C6-4BFC-91FB-284ED1F81D3A}"/>
    <cellStyle name="Normal 6 2 2" xfId="844" xr:uid="{6B087E90-E2D9-4BFC-9E89-E562F39139C2}"/>
    <cellStyle name="Normal 6 3" xfId="733" xr:uid="{453157F3-1769-4DB3-B7B9-3D105791421E}"/>
    <cellStyle name="Normal 7" xfId="17" xr:uid="{AF95F1AE-1E52-4372-9F2B-7AA5179E79A4}"/>
    <cellStyle name="Normal 7 2" xfId="419" xr:uid="{B1EEA1DB-9CC7-44FA-81CE-3BA9598F4DFC}"/>
    <cellStyle name="Normal 8" xfId="388" xr:uid="{3CD8093D-6532-47EB-824C-B35061BA39A8}"/>
    <cellStyle name="Normal 9" xfId="411" xr:uid="{73746AFD-EF8A-4132-A01A-2E247FBDEA6D}"/>
    <cellStyle name="Normaldate" xfId="289" xr:uid="{1C6861D8-17D7-47BC-B605-1C1D7E2944D5}"/>
    <cellStyle name="Normaldate 2" xfId="638" xr:uid="{20F8D5D4-7774-4152-8A49-5370824530B4}"/>
    <cellStyle name="Normale_INDIA_Allegato3" xfId="290" xr:uid="{88837456-1EAA-4097-9B7E-73F646730476}"/>
    <cellStyle name="Normalny_Expans 04.10" xfId="291" xr:uid="{C9227FB5-DA1B-42C5-A308-23568B2A0B1B}"/>
    <cellStyle name="Normalpattern" xfId="292" xr:uid="{D5CCEEA3-0191-493C-8846-74BD3339BAC7}"/>
    <cellStyle name="Normalpattern 2" xfId="639" xr:uid="{9594B371-9BE4-4CC1-9CCE-BA77EFE984B0}"/>
    <cellStyle name="Normalshade" xfId="293" xr:uid="{C2B3392C-0E9C-4891-98B5-073B560462EA}"/>
    <cellStyle name="Normalshade 2" xfId="640" xr:uid="{947499B3-77E7-4051-A95A-E23F5C66CCB7}"/>
    <cellStyle name="Normalsq" xfId="294" xr:uid="{540E8D94-895D-474C-B7F7-28821ACB0420}"/>
    <cellStyle name="Normalsq 2" xfId="641" xr:uid="{48F4749B-101B-4FEE-A525-C037B35EF400}"/>
    <cellStyle name="Normalyr" xfId="295" xr:uid="{82772ABC-3AD6-421E-B440-2862F571C262}"/>
    <cellStyle name="Normalyr 2" xfId="642" xr:uid="{5FBFB976-73E7-4A1A-8346-39BDA69CAA5A}"/>
    <cellStyle name="Note 2" xfId="296" xr:uid="{34F1D058-7661-46A9-AC8D-3E6321717847}"/>
    <cellStyle name="Note 2 2" xfId="643" xr:uid="{EBC7EB84-4E02-4F04-BDFC-16B43CD6F74E}"/>
    <cellStyle name="Note 2 3" xfId="798" xr:uid="{D8CDFE9E-1F21-4D7D-96BC-9EC648A16965}"/>
    <cellStyle name="Note 2 3 2" xfId="925" xr:uid="{7A665DB6-8748-40FB-91F7-BDCDF4DE1164}"/>
    <cellStyle name="Note 2 3 3" xfId="1136" xr:uid="{23F76AE0-2C9F-4E66-AD2D-1767E111A53A}"/>
    <cellStyle name="Note 2 4" xfId="789" xr:uid="{AC94FAC2-03CC-44EE-AF4D-6BBB5B724418}"/>
    <cellStyle name="Note 2 4 2" xfId="927" xr:uid="{6DBFA482-2B10-484C-932A-92E09810BCBE}"/>
    <cellStyle name="Note 2 4 3" xfId="1134" xr:uid="{756BEAC2-9F0B-4F1C-9BBE-A67A1F25412B}"/>
    <cellStyle name="Note 2 5" xfId="950" xr:uid="{6C84FC38-838B-4124-A9FD-019F7F0B072C}"/>
    <cellStyle name="Note 2 6" xfId="990" xr:uid="{88C8ED2F-0777-4D6B-8DC6-2BE77E56B7F1}"/>
    <cellStyle name="Note 2 7" xfId="948" xr:uid="{6010EE6C-E093-4F06-99A2-F98AD8743617}"/>
    <cellStyle name="Note 2 8" xfId="1185" xr:uid="{8CB067BD-5ACF-402D-BCDE-FE5B31E2BF0C}"/>
    <cellStyle name="Note 3" xfId="403" xr:uid="{16C94A22-0497-43C0-BEAB-4D6E9B247712}"/>
    <cellStyle name="Note 3 2" xfId="720" xr:uid="{F71F2FB5-0F77-4636-9DC3-7B01DBA3B6E6}"/>
    <cellStyle name="Note 3 3" xfId="838" xr:uid="{5555A168-5130-4EAE-B073-0158854692EE}"/>
    <cellStyle name="Note 3 3 2" xfId="1093" xr:uid="{DDA067A6-99EC-44C3-8A33-65FC2B73961D}"/>
    <cellStyle name="Note 3 3 3" xfId="1147" xr:uid="{E1A57765-BE41-4AAE-81B0-5A3C591042CC}"/>
    <cellStyle name="Note 3 4" xfId="771" xr:uid="{B13FA587-3893-4AE2-9626-A74E728146B7}"/>
    <cellStyle name="Note 3 4 2" xfId="932" xr:uid="{FF9EBBD3-7207-4A45-A238-23413C41E7FD}"/>
    <cellStyle name="Note 3 4 3" xfId="956" xr:uid="{D3D99D39-5C5D-46B1-B629-6A4BBB90A34E}"/>
    <cellStyle name="Note 3 5" xfId="946" xr:uid="{B6C66E30-D9E2-4D7E-AA79-5929328AE3DD}"/>
    <cellStyle name="Note 3 6" xfId="924" xr:uid="{67218CAA-EA37-4D7C-8D62-C14AED282BCA}"/>
    <cellStyle name="Note 3 7" xfId="1192" xr:uid="{5353BDF2-3477-424C-9E65-76B4C5058AF5}"/>
    <cellStyle name="Noyan" xfId="297" xr:uid="{6310D764-5B44-4C4A-91C6-7D929EEB02AA}"/>
    <cellStyle name="Œ…‹æØ‚è [0.00]_!!!GO" xfId="298" xr:uid="{95A6AFE5-B9F2-40B4-8DB3-DC3179316B17}"/>
    <cellStyle name="Œ…‹æØ‚è_!!!GO" xfId="299" xr:uid="{9B0BC858-998A-4E89-A20A-957B9DE2734B}"/>
    <cellStyle name="Ôèíàíñîâûé [0]_PERSONAL" xfId="300" xr:uid="{94AEE18E-F1EB-4ABD-B7C8-5212F9AB76EE}"/>
    <cellStyle name="Ôèíàíñîâûé_PERSONAL" xfId="301" xr:uid="{7F026ED2-AA34-415C-8894-1265C28318E7}"/>
    <cellStyle name="Old_Inactive" xfId="302" xr:uid="{F5BC3211-158A-407F-9AB0-F04291042E50}"/>
    <cellStyle name="Option" xfId="303" xr:uid="{31422E3C-4629-40D5-B138-FB8F4106ED42}"/>
    <cellStyle name="Option 2" xfId="644" xr:uid="{347852A4-4BA1-4958-912C-1912954BEDB9}"/>
    <cellStyle name="OptionHeading" xfId="304" xr:uid="{CFC436B6-3F3F-40DF-BEC5-7A7B29AE3811}"/>
    <cellStyle name="Osborne" xfId="305" xr:uid="{C9ED2D99-A3CA-427F-86DD-213901FC3096}"/>
    <cellStyle name="Osborne 2" xfId="645" xr:uid="{5526EAB6-69F2-468D-92BA-E7D380D89C07}"/>
    <cellStyle name="Output 2" xfId="306" xr:uid="{09C9D335-136D-4609-9A8E-42E12F711234}"/>
    <cellStyle name="Output 2 2" xfId="646" xr:uid="{3BDE7B01-144D-4709-9547-92895AFDD9FB}"/>
    <cellStyle name="Output 2 3" xfId="799" xr:uid="{0E8789FB-B04A-4DAF-9EE9-358C432B633E}"/>
    <cellStyle name="Output 2 3 2" xfId="962" xr:uid="{A6572C96-708B-432B-901E-81993B40B337}"/>
    <cellStyle name="Output 2 4" xfId="788" xr:uid="{DA82D527-8335-4A50-93FD-7A74573E980C}"/>
    <cellStyle name="Output 2 4 2" xfId="964" xr:uid="{44EE3F04-28A2-4842-9B3B-1C7CB92763AD}"/>
    <cellStyle name="Output 2 5" xfId="951" xr:uid="{A261AAB8-624D-49D4-AE7F-DCF8E834F55D}"/>
    <cellStyle name="Output 2 6" xfId="988" xr:uid="{A773E4CB-0836-4637-9651-0BB414C34D68}"/>
    <cellStyle name="Output 2 7" xfId="960" xr:uid="{3D925448-4774-4F81-B092-CE7F8ED6CAC2}"/>
    <cellStyle name="Output 2 8" xfId="1186" xr:uid="{F2007899-43A2-41C8-B95B-158F25E14773}"/>
    <cellStyle name="Output 3" xfId="405" xr:uid="{A1B91735-2D8A-4CAF-B7F8-A63599D0C879}"/>
    <cellStyle name="Output 3 2" xfId="722" xr:uid="{B171F1BC-18B2-403C-B7C0-A96738E55ECE}"/>
    <cellStyle name="Output 3 3" xfId="839" xr:uid="{961A41BD-27C6-49A5-9892-4BD88C6BA8AE}"/>
    <cellStyle name="Output 3 3 2" xfId="1094" xr:uid="{C6FD3DDF-F3B2-4264-BE9A-9ED5A2D1CDD1}"/>
    <cellStyle name="Output 3 4" xfId="770" xr:uid="{615B811A-3D10-4FA3-9639-981FE3C42154}"/>
    <cellStyle name="Output 3 4 2" xfId="970" xr:uid="{970D3F14-D1B9-4DE0-97F1-0378941F044B}"/>
    <cellStyle name="Output 3 5" xfId="1003" xr:uid="{9D6FD593-3478-4307-9EC3-3946E4D19B44}"/>
    <cellStyle name="per.style" xfId="307" xr:uid="{993C05BD-5230-4C87-A414-18DCE52CED1F}"/>
    <cellStyle name="Percen - Biçem1" xfId="308" xr:uid="{1EDE0DE4-C420-4CFD-A76C-A04556B7D9F2}"/>
    <cellStyle name="Percen - Biçem1 2" xfId="647" xr:uid="{CEAD8BF7-8824-480A-BCBC-B374B15E2D5C}"/>
    <cellStyle name="Percent" xfId="2" xr:uid="{CB3C7C66-3B19-48C1-BE7F-930A9CD5F8D7}"/>
    <cellStyle name="Percent %" xfId="310" xr:uid="{23899543-E2F8-483D-9A5A-00B4DE7EDDC0}"/>
    <cellStyle name="Percent % 2" xfId="649" xr:uid="{2EDBD2CF-4DC5-436A-89C0-31E91802850C}"/>
    <cellStyle name="Percent [0]" xfId="311" xr:uid="{F0AAC8E2-ADD0-464D-A392-DE218B5DA4FD}"/>
    <cellStyle name="Percent [0] 2" xfId="650" xr:uid="{234B2C68-1F13-484E-BBE0-5FA3B12FCFC4}"/>
    <cellStyle name="Percent [00]" xfId="312" xr:uid="{B145EA5B-0850-4732-926D-E6694437A67E}"/>
    <cellStyle name="Percent [00] 2" xfId="651" xr:uid="{3772CB4B-F284-460E-8724-EECF328C87B1}"/>
    <cellStyle name="Percent [2]" xfId="313" xr:uid="{57C300A1-B59D-4B0B-A7B7-4FF958D3C442}"/>
    <cellStyle name="Percent [2] 2" xfId="652" xr:uid="{B80D2AD9-FE51-4B9A-920B-07C18AF2069B}"/>
    <cellStyle name="Percent 2" xfId="314" xr:uid="{C970C241-4A3B-4BFA-8514-F56724F0355B}"/>
    <cellStyle name="Percent 2 2" xfId="653" xr:uid="{D912D93F-6BFC-43B2-A6F8-FDCB10F45FD7}"/>
    <cellStyle name="Percent 2 2 2" xfId="892" xr:uid="{01CAEE92-FE1B-45B9-9758-512E9703AA16}"/>
    <cellStyle name="Percent 3" xfId="309" xr:uid="{5D79B4DE-1D7A-4EEA-9B07-B2250BF51B8E}"/>
    <cellStyle name="Percent 3 2" xfId="648" xr:uid="{D7F95CC6-59DE-4BF7-914B-C01A89CC592D}"/>
    <cellStyle name="Percent 4" xfId="404" xr:uid="{0076481A-3517-4CA9-B1EA-498FF7B0E1BA}"/>
    <cellStyle name="Percent 4 2" xfId="721" xr:uid="{A50D0DD4-5D2F-4D56-A713-70BAD68FC83D}"/>
    <cellStyle name="Percent 5" xfId="390" xr:uid="{E226D3C5-9AC1-494A-A77E-FA30B34B8BA9}"/>
    <cellStyle name="Percent 5 2" xfId="707" xr:uid="{4B978FD7-A3D0-49B9-8615-748A74A7A299}"/>
    <cellStyle name="Percent 6" xfId="406" xr:uid="{C8810756-52C9-4760-9AEE-2E4C0D8C5038}"/>
    <cellStyle name="Percent 6 2" xfId="723" xr:uid="{DC2BFB1A-FA63-4FFB-9E9A-396C9D508D12}"/>
    <cellStyle name="Percent 7" xfId="391" xr:uid="{CF6DC571-229F-4653-97C1-A504758872E7}"/>
    <cellStyle name="Percent 7 2" xfId="708" xr:uid="{3FAF63A7-5B6F-45F7-923B-5881C871B057}"/>
    <cellStyle name="PO BORDER" xfId="315" xr:uid="{BBFA5B2B-92F6-450D-97A6-DAD98AE0ECD3}"/>
    <cellStyle name="PO BORDER 2" xfId="654" xr:uid="{A207E886-A0EA-4A1F-A607-99F8317839A8}"/>
    <cellStyle name="PO BORDER 2 2" xfId="893" xr:uid="{2D49DEDA-8D4D-4D09-950E-0FD077425501}"/>
    <cellStyle name="PO BORDER 2 2 2" xfId="1063" xr:uid="{ADC481CE-463F-4148-BA34-86347D280D3F}"/>
    <cellStyle name="PO BORDER 2 2 3" xfId="1167" xr:uid="{0AACF69B-4286-4359-B35C-550DE62F6C54}"/>
    <cellStyle name="PO BORDER 2 3" xfId="737" xr:uid="{46139E01-1EB4-4289-8032-906BCAA689BD}"/>
    <cellStyle name="PO BORDER 2 3 2" xfId="1001" xr:uid="{B704CE3B-CD09-4D41-81E6-AD470A6A2CA2}"/>
    <cellStyle name="PO BORDER 2 3 3" xfId="937" xr:uid="{7603DDD6-661D-4A67-A740-D0AAB14D4348}"/>
    <cellStyle name="PO BORDER 2 3 4" xfId="1027" xr:uid="{AF7F1EAC-7472-4A0A-B428-7E55D65378F5}"/>
    <cellStyle name="PO BORDER 3" xfId="802" xr:uid="{17AB251C-2923-462B-8D0C-B6D7E56C6104}"/>
    <cellStyle name="PO BORDER 4" xfId="952" xr:uid="{A76AF301-4E9B-4A99-9BB7-C386D47CE1A3}"/>
    <cellStyle name="PO BORDER 5" xfId="975" xr:uid="{C1AC0627-8FC9-4685-B521-6BBB544EBA17}"/>
    <cellStyle name="PrePop Currency (0)" xfId="316" xr:uid="{710AF5FA-8932-45C3-9C92-73B2ED1F39B8}"/>
    <cellStyle name="PrePop Currency (0) 2" xfId="655" xr:uid="{99F173C2-1EBC-4CF3-892F-8AD3ECC9F361}"/>
    <cellStyle name="PrePop Currency (2)" xfId="317" xr:uid="{7AD8D5FF-566A-483C-A4C2-B8FBD4729E3E}"/>
    <cellStyle name="PrePop Currency (2) 2" xfId="656" xr:uid="{14230616-F361-4AF5-9C4B-607E23FA2A2B}"/>
    <cellStyle name="PrePop Units (0)" xfId="318" xr:uid="{7792EDBF-0311-426F-948E-28E993C27FDF}"/>
    <cellStyle name="PrePop Units (0) 2" xfId="657" xr:uid="{AAAB30FA-353B-4D9B-8455-B7C427EAD0B1}"/>
    <cellStyle name="PrePop Units (1)" xfId="319" xr:uid="{8E8BFF17-F4D3-40FC-B4F0-2EE82DBC1E4E}"/>
    <cellStyle name="PrePop Units (1) 2" xfId="658" xr:uid="{69F171FB-8EF2-4610-A613-1AC30BB04093}"/>
    <cellStyle name="PrePop Units (2)" xfId="320" xr:uid="{E5CDC6DB-F76D-46D3-9653-1504F91DF024}"/>
    <cellStyle name="PrePop Units (2) 2" xfId="659" xr:uid="{50079848-C70D-4F2F-ACFA-77F6D626CEDF}"/>
    <cellStyle name="Price" xfId="321" xr:uid="{52DC340B-1DFE-41D4-9BE5-1CCAEC8272A9}"/>
    <cellStyle name="pricing" xfId="322" xr:uid="{4237ABA0-5554-4AD7-8404-452C39656824}"/>
    <cellStyle name="pricing 2" xfId="660" xr:uid="{BE017206-A68E-46B0-9759-E179577AC9AB}"/>
    <cellStyle name="PSChar" xfId="323" xr:uid="{1C5906E4-2863-48FD-9D8C-274BBBDB6623}"/>
    <cellStyle name="PSChar 2" xfId="661" xr:uid="{9EE1977D-EC7E-4405-99FE-6580810CFA2F}"/>
    <cellStyle name="PSDate" xfId="324" xr:uid="{B4ACCD79-CF08-432D-B4C5-E7F6888872FF}"/>
    <cellStyle name="PSDec" xfId="325" xr:uid="{DC95F95F-B38C-4974-A41D-399400222458}"/>
    <cellStyle name="PSHeading" xfId="326" xr:uid="{E5AD6DEA-89F6-4E49-B83A-29FFE4ED3F1A}"/>
    <cellStyle name="PSHeading 2" xfId="662" xr:uid="{6EFDA646-DFB0-4413-B96E-6AF2C22B1CDF}"/>
    <cellStyle name="PSHeading 2 2" xfId="917" xr:uid="{A41DADBB-2FCA-4EC7-B932-12D4AB314E9E}"/>
    <cellStyle name="PSHeading 2 3" xfId="992" xr:uid="{2501FE04-04D1-4722-AA82-24EBFE8A55E4}"/>
    <cellStyle name="PSHeading 3" xfId="916" xr:uid="{E293B388-0555-4E92-A4C4-2319118D989C}"/>
    <cellStyle name="PSHeading 4" xfId="1177" xr:uid="{53211CEB-7505-494D-B138-236303B89736}"/>
    <cellStyle name="PSInt" xfId="327" xr:uid="{5CDACFA5-B439-45B6-ADE7-72D2129A3A80}"/>
    <cellStyle name="PSSpacer" xfId="328" xr:uid="{7403EDAA-C17A-4496-AD65-9479A9D28FE9}"/>
    <cellStyle name="PSSpacer 2" xfId="663" xr:uid="{E2763355-C358-4B70-A442-4023777F9BA5}"/>
    <cellStyle name="PutnamPh#" xfId="329" xr:uid="{04E115A2-8B81-407A-8422-0F0FF3C421D5}"/>
    <cellStyle name="PutnamPh# 2" xfId="664" xr:uid="{8F609CC9-FA03-4B49-A1F5-54FB86C811C6}"/>
    <cellStyle name="recycled" xfId="330" xr:uid="{811BA552-87D1-44D1-A0F8-4E289156678B}"/>
    <cellStyle name="Red" xfId="331" xr:uid="{0CFE7010-7D1F-47A4-A3EA-8F6EF9C95F0D}"/>
    <cellStyle name="Red 2" xfId="665" xr:uid="{F45641BE-A739-4451-AA58-03D716E35F38}"/>
    <cellStyle name="red negative" xfId="332" xr:uid="{DEF967C1-7E25-4593-B3AB-CCA5413DA4EE}"/>
    <cellStyle name="Refname" xfId="333" xr:uid="{36F24979-2246-4135-AD2B-98A8A96A2D08}"/>
    <cellStyle name="Refname 2" xfId="666" xr:uid="{668D5AE0-CF5C-48DB-8557-DC42E82A3D19}"/>
    <cellStyle name="RevList" xfId="334" xr:uid="{A6516126-907E-4902-8647-F103437F20F9}"/>
    <cellStyle name="RevList 2" xfId="667" xr:uid="{241EF111-B9AA-4603-8081-3774ACCAB2B0}"/>
    <cellStyle name="s" xfId="335" xr:uid="{5A08025B-4B15-4378-A854-E535B1BE873F}"/>
    <cellStyle name="SAPError" xfId="336" xr:uid="{7EF98147-8FE6-458F-9557-74A8C691B0BB}"/>
    <cellStyle name="SAPError 2" xfId="668" xr:uid="{32A17BE4-7B96-45F6-8476-1E14E5E1580F}"/>
    <cellStyle name="SAPKey" xfId="337" xr:uid="{5F1002CE-3CB2-4DC2-B222-42BD44A0681A}"/>
    <cellStyle name="SAPKey 2" xfId="669" xr:uid="{65853EFB-9897-4535-A366-0C7767DB59EE}"/>
    <cellStyle name="SAPLocked" xfId="338" xr:uid="{D50E8C9A-5BE0-42E4-817B-A7AE416C2C2C}"/>
    <cellStyle name="SAPLocked 2" xfId="670" xr:uid="{F070F92D-D31C-42E4-919C-3A67F389A8E7}"/>
    <cellStyle name="SAPOutput" xfId="339" xr:uid="{0BBFEF7F-BF1F-4959-BEC3-B9578E6B8173}"/>
    <cellStyle name="SAPOutput 2" xfId="671" xr:uid="{14D47054-09DC-404F-A6F2-DE9D44B1EAEB}"/>
    <cellStyle name="SAPSpace" xfId="340" xr:uid="{BF3E41AE-A33E-4D5B-BEE7-5B576725038A}"/>
    <cellStyle name="SAPSpace 2" xfId="672" xr:uid="{BB5D011B-9131-4002-9DD6-74ACD7493419}"/>
    <cellStyle name="SAPText" xfId="341" xr:uid="{08A0F103-A880-42CC-A625-D8BBCF785E0A}"/>
    <cellStyle name="SAPText 2" xfId="673" xr:uid="{A04389D5-5714-47DD-A57B-8C6B3889C4FC}"/>
    <cellStyle name="SAPUnLocked" xfId="342" xr:uid="{43D8F198-7438-4BD0-A85B-ADA02B8431DE}"/>
    <cellStyle name="SAPUnLocked 2" xfId="674" xr:uid="{6F411C18-D305-48F8-BBCD-E6DD9E18F46F}"/>
    <cellStyle name="SDEntry" xfId="343" xr:uid="{770194B6-DBB1-49D9-8000-D127963B3329}"/>
    <cellStyle name="SDEntry 2" xfId="675" xr:uid="{A9F1CC61-BAFD-4018-BFA8-48D29F651619}"/>
    <cellStyle name="SDFormula" xfId="344" xr:uid="{BA413CB4-F666-47A0-85E5-8F5C7E0E82B9}"/>
    <cellStyle name="SDFormula 2" xfId="676" xr:uid="{46CB1821-C7C2-4A23-84A0-9DB4F983826C}"/>
    <cellStyle name="SDHeader" xfId="345" xr:uid="{EB751180-9FB5-4A3F-8575-3C1E4B89954F}"/>
    <cellStyle name="SDHeader 2" xfId="677" xr:uid="{36332617-23C7-4173-BC69-AEFE96613908}"/>
    <cellStyle name="SEEntry" xfId="346" xr:uid="{341B400A-7591-4B2B-8AE9-0F0826695E95}"/>
    <cellStyle name="SEEntry 2" xfId="407" xr:uid="{324D6A17-9217-473D-89D5-F5A0935D50EA}"/>
    <cellStyle name="SEEntry 2 2" xfId="724" xr:uid="{489805A6-981E-4FA3-A46E-AB78041DD738}"/>
    <cellStyle name="SEEntry 2 3" xfId="840" xr:uid="{DE7E415A-DE7E-449A-9FF4-96CB491D0A01}"/>
    <cellStyle name="SEEntry 2 3 2" xfId="1095" xr:uid="{E8395463-A33E-43F9-A7F3-55E7AC029E15}"/>
    <cellStyle name="SEEntry 2 3 3" xfId="1148" xr:uid="{B9789A76-631E-45AE-B5F2-F6AC757CBAEA}"/>
    <cellStyle name="SEEntry 2 4" xfId="769" xr:uid="{E2624ABE-C2ED-4AC6-ABF1-0D9F05F84DB6}"/>
    <cellStyle name="SEEntry 2 4 2" xfId="933" xr:uid="{6652DF28-F3AF-4417-8AF9-2889196E0289}"/>
    <cellStyle name="SEEntry 2 4 3" xfId="994" xr:uid="{9A6DC515-FE64-4302-A571-73CC60E7891C}"/>
    <cellStyle name="SEEntry 2 5" xfId="939" xr:uid="{168C52B4-AF38-4F1C-A038-FC9AD8C91187}"/>
    <cellStyle name="SEEntry 2 6" xfId="968" xr:uid="{D5BDA09F-B866-469D-A30B-2DCECFF79EF7}"/>
    <cellStyle name="SEEntry 2 7" xfId="1193" xr:uid="{768F23E5-D047-4B86-A17D-F03D4BEBFFF9}"/>
    <cellStyle name="SEEntry 3" xfId="678" xr:uid="{39662038-CA3E-4F96-9362-A603E178CEDA}"/>
    <cellStyle name="SEEntry 4" xfId="815" xr:uid="{904FCF92-FD83-4DC7-989C-E55943781100}"/>
    <cellStyle name="SEEntry 4 2" xfId="1080" xr:uid="{DCAFE9C5-0411-44DB-8587-4E5800EEC694}"/>
    <cellStyle name="SEEntry 4 3" xfId="1141" xr:uid="{BEA58A55-BF8A-4604-A2B0-555CE1CCFEE6}"/>
    <cellStyle name="SEEntry 5" xfId="873" xr:uid="{C8B6FD69-31B6-46D8-B6D6-F2F15F828641}"/>
    <cellStyle name="SEEntry 5 2" xfId="1108" xr:uid="{542B4266-BDC5-49BA-8A49-84B2D1E65D24}"/>
    <cellStyle name="SEEntry 5 3" xfId="1154" xr:uid="{91B71019-4277-4721-803A-66C9F468B821}"/>
    <cellStyle name="SEEntry 6" xfId="987" xr:uid="{41D2E210-4C10-42F8-8981-D392963D59A1}"/>
    <cellStyle name="SEFormula" xfId="347" xr:uid="{E90F7E9A-4434-4087-B47C-DF9655B13A3E}"/>
    <cellStyle name="SEFormula 2" xfId="408" xr:uid="{BE3F9F86-F5A2-4801-8181-376F8E7E4F71}"/>
    <cellStyle name="SEFormula 2 2" xfId="725" xr:uid="{6A00854C-2806-4420-8296-CB6D1383862B}"/>
    <cellStyle name="SEFormula 2 3" xfId="841" xr:uid="{2FA014CA-C0C3-45A7-BB1D-3B5837C9B58A}"/>
    <cellStyle name="SEFormula 2 3 2" xfId="1096" xr:uid="{74E09644-6532-4D66-A192-72C59DAD2BFC}"/>
    <cellStyle name="SEFormula 2 3 3" xfId="1149" xr:uid="{191302D0-A4BC-4026-8F33-0FA57658D72D}"/>
    <cellStyle name="SEFormula 2 4" xfId="868" xr:uid="{B6F3FABE-4136-40FF-9F9E-C2BFADC44935}"/>
    <cellStyle name="SEFormula 2 4 2" xfId="1103" xr:uid="{C171FA7D-9B87-4545-BA9E-8DCAD2CC4531}"/>
    <cellStyle name="SEFormula 2 4 3" xfId="1153" xr:uid="{C400CE43-3B20-4D05-BB9E-3F6923CC7DC9}"/>
    <cellStyle name="SEFormula 2 5" xfId="984" xr:uid="{3B678500-EF9F-4E79-BF52-DD5A9383EA4D}"/>
    <cellStyle name="SEFormula 2 6" xfId="1041" xr:uid="{380C1422-2277-4758-B130-95846E36534D}"/>
    <cellStyle name="SEFormula 2 7" xfId="1194" xr:uid="{EADE640A-B719-4AA6-B2BF-021ADC03D65D}"/>
    <cellStyle name="SEFormula 3" xfId="679" xr:uid="{FCA9B14E-C98B-404E-B7C1-AB8776D194A2}"/>
    <cellStyle name="SEFormula 4" xfId="816" xr:uid="{AEEB795A-B9BB-4C17-B8EF-AA01C4DAF79B}"/>
    <cellStyle name="SEFormula 4 2" xfId="1081" xr:uid="{17ED877E-0EC5-4D97-A8B2-E5D8BD1D0704}"/>
    <cellStyle name="SEFormula 4 3" xfId="1142" xr:uid="{64C827F1-8E1E-4488-8685-4D06BE1B15F4}"/>
    <cellStyle name="SEFormula 5" xfId="779" xr:uid="{61C30DBE-7D8D-4F47-B4F9-DC4986EE10B1}"/>
    <cellStyle name="SEFormula 5 2" xfId="929" xr:uid="{69E10278-C6D9-446D-924F-13C74EE24AB5}"/>
    <cellStyle name="SEFormula 5 3" xfId="1131" xr:uid="{1981566E-A2A9-4850-B654-921E2E19CACA}"/>
    <cellStyle name="SEFormula 6" xfId="944" xr:uid="{0ED96A16-223E-4705-B827-DF37EA6FADE1}"/>
    <cellStyle name="SEHeader" xfId="348" xr:uid="{9D42F660-8871-457E-8488-9E3281317B73}"/>
    <cellStyle name="SEHeader 2" xfId="680" xr:uid="{199FA6A9-621B-4229-A5E7-82BC5705A2D6}"/>
    <cellStyle name="SEHeader 3" xfId="817" xr:uid="{8E45FA35-29F8-4FE8-808C-887ED678E608}"/>
    <cellStyle name="SEHeader 4" xfId="1188" xr:uid="{520B807B-BF30-4E08-BFD0-FFFA1A0B4DD8}"/>
    <cellStyle name="SELocked" xfId="349" xr:uid="{0560B0F5-CF51-4562-A2A9-9B690577AAD0}"/>
    <cellStyle name="SELocked 2" xfId="409" xr:uid="{C882EA17-0E26-4BF6-8621-AB93BC500894}"/>
    <cellStyle name="SELocked 2 2" xfId="726" xr:uid="{DA01A825-9631-4723-8771-7BA4BA47835B}"/>
    <cellStyle name="SELocked 2 3" xfId="842" xr:uid="{D3489890-36CF-47CB-ADAA-9C24957368F2}"/>
    <cellStyle name="SELocked 2 3 2" xfId="1097" xr:uid="{4E81E03F-BECE-4837-B95C-E48F24F15F25}"/>
    <cellStyle name="SELocked 2 4" xfId="768" xr:uid="{CC043643-3711-470B-9C60-229EBD25BFDF}"/>
    <cellStyle name="SELocked 2 4 2" xfId="971" xr:uid="{50C4CA43-AE27-4C19-AC11-677F166D3AA4}"/>
    <cellStyle name="SELocked 2 5" xfId="938" xr:uid="{4E83FCB7-8D97-46EC-A514-772EC7D05BAE}"/>
    <cellStyle name="SELocked 3" xfId="681" xr:uid="{69423A65-A711-41F0-9961-5C84D065F53F}"/>
    <cellStyle name="SELocked 4" xfId="818" xr:uid="{43A391DF-1A9A-4C06-B06E-D66EAA78DEE0}"/>
    <cellStyle name="SELocked 4 2" xfId="1082" xr:uid="{2D390A74-104B-4B12-B040-46E71EC20AF3}"/>
    <cellStyle name="SELocked 5" xfId="777" xr:uid="{721D0405-2B0F-4078-9C4D-6D66B0A53C0F}"/>
    <cellStyle name="SELocked 5 2" xfId="930" xr:uid="{1834B262-9384-4EC5-9962-C532B25871F7}"/>
    <cellStyle name="SELocked 6" xfId="943" xr:uid="{D0C55C0E-EBD2-4211-B7AB-D36565831397}"/>
    <cellStyle name="SNEntry" xfId="350" xr:uid="{FAC67FDB-901E-4B42-AD16-CB8A7DF38678}"/>
    <cellStyle name="SNEntry 2" xfId="682" xr:uid="{DBED3F9C-85B8-46DF-ADD4-249886E9A181}"/>
    <cellStyle name="SNEntry 3" xfId="819" xr:uid="{5CF330A5-0D44-4A14-813C-5B4B6EFF6204}"/>
    <cellStyle name="SNFormula" xfId="351" xr:uid="{EC9BCE93-23B6-4C19-A5F8-B7EEE737623D}"/>
    <cellStyle name="SNFormula 2" xfId="683" xr:uid="{15746B40-B292-49E9-A283-C61E996AA1E5}"/>
    <cellStyle name="SNFormula 3" xfId="820" xr:uid="{E0857721-0991-42F2-B753-7E489FFE36DA}"/>
    <cellStyle name="SPEntry" xfId="352" xr:uid="{B205E022-4939-4FA8-8754-B371430707AB}"/>
    <cellStyle name="SPEntry 2" xfId="684" xr:uid="{7A339E83-93E4-420A-B4EE-19F5119EB200}"/>
    <cellStyle name="SPFormula" xfId="353" xr:uid="{A04BF92B-EFCF-47C8-B608-F06D4A8F059B}"/>
    <cellStyle name="SPFormula 2" xfId="685" xr:uid="{050D1D19-B9C3-4145-B5EF-AD4E80686741}"/>
    <cellStyle name="SPOl" xfId="354" xr:uid="{33CCF640-9E5A-4370-9047-7D1CB912D081}"/>
    <cellStyle name="SPOl 2" xfId="686" xr:uid="{57656A64-6211-4E57-8ECD-B51CA73B8C2A}"/>
    <cellStyle name="STANDARD" xfId="355" xr:uid="{3DE68196-E104-46AB-AAA6-A1B948E54139}"/>
    <cellStyle name="Style 1" xfId="356" xr:uid="{01BECD40-5BC3-41B0-81B4-3D54DF695CD3}"/>
    <cellStyle name="Style 1 2" xfId="687" xr:uid="{36C8F01C-D81E-4002-9A48-E62A01327280}"/>
    <cellStyle name="Subtotal" xfId="357" xr:uid="{87BAFB10-AABA-436A-BFFD-B5A3F690BE98}"/>
    <cellStyle name="Subtotal 2" xfId="688" xr:uid="{F1A3F777-7E2D-4FA7-A6E9-B1BBF961FC96}"/>
    <cellStyle name="tabel" xfId="358" xr:uid="{3B00B4B5-9938-432C-8AF2-1723E2FED1A2}"/>
    <cellStyle name="tabel 2" xfId="689" xr:uid="{80DE82EC-A9F3-412B-971D-C13AAD94E5BD}"/>
    <cellStyle name="takvim" xfId="359" xr:uid="{2C9EEE56-4C7C-4961-9E9C-628B8F01C68C}"/>
    <cellStyle name="takvim 2" xfId="690" xr:uid="{2079F0B5-63A1-41A9-BAC9-53F5B8E9E519}"/>
    <cellStyle name="Text Indent A" xfId="360" xr:uid="{F6551E3A-DF33-4EBF-A572-FB2CFB6CDA7D}"/>
    <cellStyle name="Text Indent A 2" xfId="691" xr:uid="{B44315B1-3E3B-4742-925A-7C1B1AA59D53}"/>
    <cellStyle name="Text Indent B" xfId="361" xr:uid="{05A75E82-889D-420B-916F-F6896B4F3D50}"/>
    <cellStyle name="Text Indent B 2" xfId="692" xr:uid="{B6DB0280-C264-489C-8F20-64E25A47F754}"/>
    <cellStyle name="Text Indent C" xfId="362" xr:uid="{D4B52454-D34A-4CE2-9C73-F308AD7DC623}"/>
    <cellStyle name="Text Indent C 2" xfId="693" xr:uid="{3CD4F3CE-AA37-4180-B570-2A95B5B81BAB}"/>
    <cellStyle name="Tickmark" xfId="363" xr:uid="{6DE365D2-CAC6-435A-AE9B-D31AE907204F}"/>
    <cellStyle name="Tickmark 2" xfId="694" xr:uid="{3225DC0E-0E2A-4FCC-8FBE-813A19271B76}"/>
    <cellStyle name="Titel" xfId="364" xr:uid="{BAF6D9CF-FA1D-445A-B68D-DA0FE8D2BA4E}"/>
    <cellStyle name="Titel 2" xfId="695" xr:uid="{3E922DCC-FCE4-42B2-BA13-89E80BE93B6A}"/>
    <cellStyle name="Title 2" xfId="365" xr:uid="{956F58CD-56D2-4630-9EDF-F66315519573}"/>
    <cellStyle name="Title 2 2" xfId="696" xr:uid="{DE163D12-A1DF-4ADA-BEC1-4E71E7B005E0}"/>
    <cellStyle name="Total 2" xfId="366" xr:uid="{B141CAF2-8378-4DB6-A0D1-176E5D3C1125}"/>
    <cellStyle name="Total 2 2" xfId="697" xr:uid="{3BA34BC9-D411-4A64-AFA3-0AE93C1A55BC}"/>
    <cellStyle name="Total 2 3" xfId="822" xr:uid="{AF1FEF32-F7F6-4DFA-B408-491ABD467BBA}"/>
    <cellStyle name="Total 2 3 2" xfId="1083" xr:uid="{F3AC25F5-993B-4FC3-AE57-91EBFAAA3938}"/>
    <cellStyle name="Total 2 4" xfId="872" xr:uid="{2ABAD0ED-4730-4CB9-A318-55D7879C1CAB}"/>
    <cellStyle name="Total 2 4 2" xfId="1107" xr:uid="{F5CA3193-6F6F-467B-B540-44A673C79289}"/>
    <cellStyle name="Total 2 5" xfId="1018" xr:uid="{EAB15626-D64E-4EE2-B8AE-698DD377E2E4}"/>
    <cellStyle name="Total 3" xfId="410" xr:uid="{97ABEEFE-0384-47EA-BE42-F337A62A834D}"/>
    <cellStyle name="Total 3 2" xfId="727" xr:uid="{42C33596-AD06-474B-BFA5-94D646CB14E4}"/>
    <cellStyle name="Total 3 3" xfId="843" xr:uid="{8F45DCEE-9806-4B1C-AD5A-F859F8A6764B}"/>
    <cellStyle name="Total 3 3 2" xfId="1098" xr:uid="{16E14388-8CF7-46C1-BE14-76FD472EAD4D}"/>
    <cellStyle name="Total 3 4" xfId="867" xr:uid="{823B5A2C-08D0-460E-94BD-24E62A6AEAAA}"/>
    <cellStyle name="Total 3 4 2" xfId="1102" xr:uid="{2E4AD086-1284-4A5C-8F18-6A6BEF99E487}"/>
    <cellStyle name="Total 3 5" xfId="983" xr:uid="{1475B79B-4109-4491-9B1E-3374A5CEDB68}"/>
    <cellStyle name="Tusental (0)_pldt" xfId="367" xr:uid="{242B8207-C283-4472-81C7-A916EADA7A05}"/>
    <cellStyle name="Tusental_pldt" xfId="368" xr:uid="{D46A221F-EF8E-490C-ACF3-1CCC41E703F0}"/>
    <cellStyle name="Unit" xfId="369" xr:uid="{4748549D-C953-443B-8F81-3AD08EEAE60E}"/>
    <cellStyle name="Unit 2" xfId="698" xr:uid="{54016754-6DAF-42C1-AAC8-2E2AE4B491F4}"/>
    <cellStyle name="URUNKODU" xfId="370" xr:uid="{5F0462BE-896D-4277-B606-8984C7A7EE67}"/>
    <cellStyle name="URUNKODU 2" xfId="699" xr:uid="{5B5CE390-7C9E-4581-86CC-21A7963B274F}"/>
    <cellStyle name="UST_BASLIK" xfId="371" xr:uid="{F07A6050-2B71-4E2C-B05D-9C4E9FC656BE}"/>
    <cellStyle name="Valuta (0)" xfId="372" xr:uid="{575DEFAA-F845-4A09-B1D4-65648EA95E70}"/>
    <cellStyle name="Valuta_pldt" xfId="373" xr:uid="{D180E38D-B651-4600-A307-FE6C909C7FB0}"/>
    <cellStyle name="VBOutput" xfId="374" xr:uid="{D6E066A4-F777-473B-84DC-2E612B7FBEF7}"/>
    <cellStyle name="VBOutput 2" xfId="700" xr:uid="{0DD76D9C-F876-407D-B851-CAFEA6AB14C2}"/>
    <cellStyle name="Vertical" xfId="375" xr:uid="{B9A9C0EC-83DE-4D0D-A890-1FAB0EC5A339}"/>
    <cellStyle name="Virgül [0]_#258 (1997 &amp; 1998 &amp; 1999)" xfId="376" xr:uid="{E9CD71C7-9209-4251-9A17-DA1A8B1B58B5}"/>
    <cellStyle name="Währung [0]_1" xfId="377" xr:uid="{35712FF1-6074-4D4C-BB53-8DE4C18A1217}"/>
    <cellStyle name="Währung_1" xfId="378" xr:uid="{B5360E7C-E942-4F1D-A764-7FAFA8845B1E}"/>
    <cellStyle name="Walutowy [0]_laroux" xfId="379" xr:uid="{DDE6DC60-D94E-497F-A939-CF86A2C56734}"/>
    <cellStyle name="Walutowy_laroux" xfId="380" xr:uid="{F7D78D76-2D71-49E1-A3F2-278FDA4DDE36}"/>
    <cellStyle name="Warning Text 2" xfId="381" xr:uid="{5E9FD38A-C7CB-4BC3-9695-D1EC87954844}"/>
    <cellStyle name="Warning Text 2 2" xfId="701" xr:uid="{6E407DC9-8DE3-4760-86AC-EBB225331E04}"/>
    <cellStyle name="wrap" xfId="382" xr:uid="{7A414D64-47B9-4886-8608-3DFD371B436D}"/>
    <cellStyle name="wrap 2" xfId="702" xr:uid="{5B7360E4-7AF2-40E9-B692-E6DEBD68A7C4}"/>
    <cellStyle name="WrapCenter" xfId="383" xr:uid="{C762EF16-0F94-4CEC-B874-2276773FAB97}"/>
    <cellStyle name="WrapCenter 2" xfId="703" xr:uid="{66B13DC7-2A22-4E44-8E96-52F411E6FF50}"/>
    <cellStyle name="WrapLeft" xfId="384" xr:uid="{31EB4C2C-E7AF-4173-B2DB-5B426F1C16FA}"/>
    <cellStyle name="WrapLeft 2" xfId="704" xr:uid="{A96E3844-B80E-491B-A700-8BACC5B152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3D09-7E61-4CBD-AC41-AAAF2A12A3B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CF20-5E14-41B4-B68A-A0B41EBD4180}">
  <dimension ref="A1:AB88"/>
  <sheetViews>
    <sheetView tabSelected="1" topLeftCell="C1" zoomScaleNormal="100" workbookViewId="0"/>
  </sheetViews>
  <sheetFormatPr defaultRowHeight="14.25"/>
  <cols>
    <col min="1" max="1" width="10.5703125" style="10" hidden="1" customWidth="1"/>
    <col min="2" max="2" width="0" style="10" hidden="1" customWidth="1"/>
    <col min="3" max="3" width="51.7109375" style="10" bestFit="1" customWidth="1"/>
    <col min="4" max="4" width="20.85546875" style="10" bestFit="1" customWidth="1"/>
    <col min="5" max="5" width="11.42578125" style="10" bestFit="1" customWidth="1"/>
    <col min="6" max="6" width="24.140625" style="10" bestFit="1" customWidth="1"/>
    <col min="7" max="7" width="16" style="10" bestFit="1" customWidth="1"/>
    <col min="8" max="8" width="17.28515625" style="10" bestFit="1" customWidth="1"/>
    <col min="9" max="9" width="16.7109375" style="10" bestFit="1" customWidth="1"/>
    <col min="10" max="10" width="26.7109375" style="10" bestFit="1" customWidth="1"/>
    <col min="11" max="11" width="16" style="10" bestFit="1" customWidth="1"/>
    <col min="12" max="12" width="22.5703125" style="10" bestFit="1" customWidth="1"/>
    <col min="13" max="13" width="18" style="10" bestFit="1" customWidth="1"/>
    <col min="14" max="14" width="20.85546875" style="10" bestFit="1" customWidth="1"/>
    <col min="15" max="15" width="8.42578125" style="10" bestFit="1" customWidth="1"/>
    <col min="16" max="16" width="9.140625" style="10"/>
    <col min="17" max="17" width="20.85546875" style="10" bestFit="1" customWidth="1"/>
    <col min="18" max="18" width="8.42578125" style="10" bestFit="1" customWidth="1"/>
    <col min="19" max="19" width="24.140625" style="10" bestFit="1" customWidth="1"/>
    <col min="20" max="20" width="16" style="10" bestFit="1" customWidth="1"/>
    <col min="21" max="21" width="17.28515625" style="10" bestFit="1" customWidth="1"/>
    <col min="22" max="22" width="16.7109375" style="10" bestFit="1" customWidth="1"/>
    <col min="23" max="23" width="26.7109375" style="10" bestFit="1" customWidth="1"/>
    <col min="24" max="24" width="16" style="10" bestFit="1" customWidth="1"/>
    <col min="25" max="25" width="22.5703125" style="10" bestFit="1" customWidth="1"/>
    <col min="26" max="26" width="18" style="10" bestFit="1" customWidth="1"/>
    <col min="27" max="27" width="20.85546875" style="46" bestFit="1" customWidth="1"/>
    <col min="28" max="28" width="8.42578125" style="10" bestFit="1" customWidth="1"/>
    <col min="29" max="16384" width="9.140625" style="10"/>
  </cols>
  <sheetData>
    <row r="1" spans="1:28">
      <c r="A1" s="7"/>
      <c r="B1" s="7"/>
      <c r="C1" s="8" t="s">
        <v>0</v>
      </c>
      <c r="D1" s="9" t="s">
        <v>1</v>
      </c>
      <c r="E1" s="7" t="str" cm="1">
        <f t="array" ref="E1">_xll.SUBNM("tm1:Masraf_Kar_Merkezleri","All Roots",1,"Code - Name")</f>
        <v>Koçtaş Total</v>
      </c>
      <c r="F1" s="9" t="s">
        <v>199</v>
      </c>
      <c r="G1" s="7" t="str" cm="1">
        <f t="array" ref="G1">_xll.SUBNM("tm1:Period","2024 - 2025",12,"")</f>
        <v>2024-11</v>
      </c>
      <c r="H1" s="7"/>
      <c r="I1" s="7"/>
      <c r="J1" s="7"/>
      <c r="K1" s="7"/>
      <c r="L1" s="7"/>
      <c r="M1" s="7"/>
      <c r="N1" s="7"/>
      <c r="O1" s="7"/>
      <c r="P1" s="7"/>
      <c r="Q1" s="9"/>
      <c r="R1" s="7"/>
      <c r="S1" s="7"/>
      <c r="T1" s="7"/>
      <c r="U1" s="7"/>
      <c r="V1" s="7"/>
      <c r="W1" s="7"/>
      <c r="X1" s="7"/>
      <c r="Y1" s="7"/>
      <c r="Z1" s="7"/>
      <c r="AA1" s="49"/>
      <c r="AB1" s="7"/>
    </row>
    <row r="2" spans="1:28">
      <c r="A2" s="7"/>
      <c r="B2" s="7"/>
      <c r="C2" s="8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49"/>
      <c r="AB2" s="7"/>
    </row>
    <row r="3" spans="1:28">
      <c r="A3" s="7"/>
      <c r="B3" s="7"/>
      <c r="C3" s="11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9"/>
      <c r="AB3" s="7"/>
    </row>
    <row r="4" spans="1:2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49"/>
      <c r="AB4" s="7"/>
    </row>
    <row r="5" spans="1:28">
      <c r="A5" s="7" t="s">
        <v>80</v>
      </c>
      <c r="B5" s="7"/>
      <c r="C5" s="7"/>
      <c r="D5" s="9" t="s">
        <v>2</v>
      </c>
      <c r="E5" s="12" t="str">
        <f>G1</f>
        <v>2024-11</v>
      </c>
      <c r="F5" s="9" t="s">
        <v>2</v>
      </c>
      <c r="G5" s="9"/>
      <c r="H5" s="12" t="str">
        <f>G1</f>
        <v>2024-11</v>
      </c>
      <c r="I5" s="7"/>
      <c r="J5" s="9" t="s">
        <v>2</v>
      </c>
      <c r="K5" s="9"/>
      <c r="L5" s="12" t="str">
        <f>G1</f>
        <v>2024-11</v>
      </c>
      <c r="M5" s="7"/>
      <c r="N5" s="9" t="s">
        <v>2</v>
      </c>
      <c r="O5" s="12" t="str" cm="1">
        <f t="array" ref="O5">_xll.DBRA(A12,$E$5,"PYMonth")</f>
        <v>2023-11</v>
      </c>
      <c r="P5" s="7"/>
      <c r="Q5" s="9" t="s">
        <v>2</v>
      </c>
      <c r="R5" s="12" t="str">
        <f>E5</f>
        <v>2024-11</v>
      </c>
      <c r="S5" s="9" t="s">
        <v>2</v>
      </c>
      <c r="T5" s="9"/>
      <c r="U5" s="12" t="str">
        <f>H5</f>
        <v>2024-11</v>
      </c>
      <c r="V5" s="7"/>
      <c r="W5" s="9" t="s">
        <v>2</v>
      </c>
      <c r="X5" s="9"/>
      <c r="Y5" s="12" t="str">
        <f>L5</f>
        <v>2024-11</v>
      </c>
      <c r="Z5" s="7"/>
      <c r="AA5" s="9" t="s">
        <v>2</v>
      </c>
      <c r="AB5" s="12" t="str">
        <f>O5</f>
        <v>2023-11</v>
      </c>
    </row>
    <row r="6" spans="1:28" ht="15" thickBot="1">
      <c r="A6" s="7" t="s">
        <v>79</v>
      </c>
      <c r="B6" s="7"/>
      <c r="C6" s="7"/>
      <c r="D6" s="9" t="s">
        <v>6</v>
      </c>
      <c r="E6" s="13" t="str" cm="1">
        <f t="array" ref="E6">_xll.DBR($A$8,"IFRS Senaryo","Değer")</f>
        <v>Fiili</v>
      </c>
      <c r="F6" s="9" t="s">
        <v>7</v>
      </c>
      <c r="G6" s="9"/>
      <c r="H6" s="13" t="str" cm="1">
        <f t="array" ref="H6">_xll.SUBNM("tm1:Version","Tüm Versiyonlar",2,"")</f>
        <v>Budget 2024 | Arşiv</v>
      </c>
      <c r="I6" s="7"/>
      <c r="J6" s="9" t="s">
        <v>82</v>
      </c>
      <c r="K6" s="9"/>
      <c r="L6" s="13" t="str" cm="1">
        <f t="array" ref="L6">_xll.SUBNM("tm1:Version","Tüm Versiyonlar",5,"")</f>
        <v>Forecast 9+3 2024 | Arşiv</v>
      </c>
      <c r="M6" s="7"/>
      <c r="N6" s="9" t="s">
        <v>6</v>
      </c>
      <c r="O6" s="14" t="str">
        <f>E6</f>
        <v>Fiili</v>
      </c>
      <c r="P6" s="7"/>
      <c r="Q6" s="9" t="s">
        <v>6</v>
      </c>
      <c r="R6" s="13" t="str">
        <f>E6</f>
        <v>Fiili</v>
      </c>
      <c r="S6" s="9" t="s">
        <v>7</v>
      </c>
      <c r="T6" s="9"/>
      <c r="U6" s="13" t="str">
        <f>H6</f>
        <v>Budget 2024 | Arşiv</v>
      </c>
      <c r="V6" s="7"/>
      <c r="W6" s="9" t="s">
        <v>82</v>
      </c>
      <c r="X6" s="9"/>
      <c r="Y6" s="13" t="str">
        <f>L6</f>
        <v>Forecast 9+3 2024 | Arşiv</v>
      </c>
      <c r="Z6" s="7"/>
      <c r="AA6" s="51" t="s">
        <v>6</v>
      </c>
      <c r="AB6" s="14" t="str">
        <f>E6</f>
        <v>Fiili</v>
      </c>
    </row>
    <row r="7" spans="1:28">
      <c r="A7" s="7"/>
      <c r="B7" s="7"/>
      <c r="C7" s="7"/>
      <c r="D7" s="15"/>
      <c r="E7" s="16"/>
      <c r="F7" s="15"/>
      <c r="G7" s="17"/>
      <c r="H7" s="17"/>
      <c r="I7" s="16"/>
      <c r="J7" s="15"/>
      <c r="K7" s="17"/>
      <c r="L7" s="17"/>
      <c r="M7" s="16"/>
      <c r="N7" s="15"/>
      <c r="O7" s="16"/>
      <c r="P7" s="7"/>
      <c r="Q7" s="15"/>
      <c r="R7" s="16"/>
      <c r="S7" s="15"/>
      <c r="T7" s="17"/>
      <c r="U7" s="17"/>
      <c r="V7" s="16"/>
      <c r="W7" s="15"/>
      <c r="X7" s="17"/>
      <c r="Y7" s="17"/>
      <c r="Z7" s="16"/>
      <c r="AA7" s="54"/>
      <c r="AB7" s="16"/>
    </row>
    <row r="8" spans="1:28">
      <c r="A8" s="7" t="s">
        <v>81</v>
      </c>
      <c r="B8" s="7"/>
      <c r="C8" s="7"/>
      <c r="D8" s="86" t="s">
        <v>8</v>
      </c>
      <c r="E8" s="87"/>
      <c r="F8" s="86" t="s">
        <v>8</v>
      </c>
      <c r="G8" s="88"/>
      <c r="H8" s="88"/>
      <c r="I8" s="87"/>
      <c r="J8" s="86" t="s">
        <v>8</v>
      </c>
      <c r="K8" s="88"/>
      <c r="L8" s="88"/>
      <c r="M8" s="87"/>
      <c r="N8" s="86" t="s">
        <v>8</v>
      </c>
      <c r="O8" s="87"/>
      <c r="P8" s="7"/>
      <c r="Q8" s="86" t="s">
        <v>9</v>
      </c>
      <c r="R8" s="87"/>
      <c r="S8" s="86" t="s">
        <v>9</v>
      </c>
      <c r="T8" s="88"/>
      <c r="U8" s="88"/>
      <c r="V8" s="87"/>
      <c r="W8" s="86" t="s">
        <v>9</v>
      </c>
      <c r="X8" s="88"/>
      <c r="Y8" s="88"/>
      <c r="Z8" s="87"/>
      <c r="AA8" s="86" t="s">
        <v>9</v>
      </c>
      <c r="AB8" s="87"/>
    </row>
    <row r="9" spans="1:28">
      <c r="A9" s="7"/>
      <c r="B9" s="7"/>
      <c r="C9" s="7"/>
      <c r="D9" s="18" t="s">
        <v>10</v>
      </c>
      <c r="E9" s="19" t="s">
        <v>11</v>
      </c>
      <c r="F9" s="18" t="str">
        <f>H6</f>
        <v>Budget 2024 | Arşiv</v>
      </c>
      <c r="G9" s="20" t="s">
        <v>12</v>
      </c>
      <c r="H9" s="21" t="s">
        <v>11</v>
      </c>
      <c r="I9" s="19" t="s">
        <v>195</v>
      </c>
      <c r="J9" s="18" t="str">
        <f>L6</f>
        <v>Forecast 9+3 2024 | Arşiv</v>
      </c>
      <c r="K9" s="21" t="s">
        <v>12</v>
      </c>
      <c r="L9" s="21" t="s">
        <v>11</v>
      </c>
      <c r="M9" s="19" t="s">
        <v>196</v>
      </c>
      <c r="N9" s="18" t="s">
        <v>13</v>
      </c>
      <c r="O9" s="19" t="s">
        <v>11</v>
      </c>
      <c r="P9" s="7"/>
      <c r="Q9" s="43" t="s">
        <v>10</v>
      </c>
      <c r="R9" s="53" t="s">
        <v>11</v>
      </c>
      <c r="S9" s="43" t="str">
        <f>U6</f>
        <v>Budget 2024 | Arşiv</v>
      </c>
      <c r="T9" s="32" t="s">
        <v>12</v>
      </c>
      <c r="U9" s="37" t="s">
        <v>11</v>
      </c>
      <c r="V9" s="53" t="s">
        <v>195</v>
      </c>
      <c r="W9" s="43" t="str">
        <f>Y6</f>
        <v>Forecast 9+3 2024 | Arşiv</v>
      </c>
      <c r="X9" s="37" t="s">
        <v>12</v>
      </c>
      <c r="Y9" s="37" t="s">
        <v>11</v>
      </c>
      <c r="Z9" s="53" t="s">
        <v>196</v>
      </c>
      <c r="AA9" s="43" t="s">
        <v>13</v>
      </c>
      <c r="AB9" s="53" t="s">
        <v>11</v>
      </c>
    </row>
    <row r="10" spans="1:28">
      <c r="A10" s="11"/>
      <c r="B10" s="11"/>
      <c r="C10" s="22" t="s">
        <v>193</v>
      </c>
      <c r="D10" s="1">
        <f>IFERROR(D12-D11,0)</f>
        <v>0</v>
      </c>
      <c r="E10" s="3"/>
      <c r="F10" s="1">
        <f>IFERROR(F12-F11,0)</f>
        <v>1646620926.9528892</v>
      </c>
      <c r="G10" s="4">
        <f>IFERROR(D10-F10,0)</f>
        <v>-1646620926.9528892</v>
      </c>
      <c r="H10" s="23"/>
      <c r="I10" s="24">
        <f>IFERROR((D10-F10)/ABS(F10),0)</f>
        <v>-1</v>
      </c>
      <c r="J10" s="1">
        <f>IFERROR(J12-J11,0)</f>
        <v>1035199316.4388831</v>
      </c>
      <c r="K10" s="4">
        <f>IFERROR(D10-J10,0)</f>
        <v>-1035199316.4388831</v>
      </c>
      <c r="L10" s="23"/>
      <c r="M10" s="24">
        <f>IFERROR((D10-J10)/ABS(J10),0)</f>
        <v>-1</v>
      </c>
      <c r="N10" s="1">
        <f>IFERROR(N12-N11,0)</f>
        <v>928023729.39013827</v>
      </c>
      <c r="O10" s="3"/>
      <c r="P10" s="11"/>
      <c r="Q10" s="44">
        <f>IFERROR(Q12-Q11,0)</f>
        <v>11514981036.521004</v>
      </c>
      <c r="R10" s="47"/>
      <c r="S10" s="44">
        <f>IFERROR(S12-S11,0)</f>
        <v>15440631487.660206</v>
      </c>
      <c r="T10" s="33">
        <f>IFERROR(Q10-S10,0)</f>
        <v>-3925650451.1392021</v>
      </c>
      <c r="U10" s="48"/>
      <c r="V10" s="50">
        <f>IFERROR((Q10-S10)/ABS(S10),0)</f>
        <v>-0.25424157388099644</v>
      </c>
      <c r="W10" s="44">
        <f>IFERROR(W12-W11,0)</f>
        <v>12572971605.196321</v>
      </c>
      <c r="X10" s="33">
        <f>IFERROR(Q10-W10,0)</f>
        <v>-1057990568.6753178</v>
      </c>
      <c r="Y10" s="48"/>
      <c r="Z10" s="50">
        <f>IFERROR((Q10-W10)/ABS(W10),0)</f>
        <v>-8.4148012251778065E-2</v>
      </c>
      <c r="AA10" s="34">
        <f>IFERROR(AA12-AA11,0)</f>
        <v>9480893489.1308231</v>
      </c>
      <c r="AB10" s="50"/>
    </row>
    <row r="11" spans="1:28">
      <c r="A11" s="7" t="s">
        <v>5</v>
      </c>
      <c r="B11" s="7"/>
      <c r="C11" s="25" t="s">
        <v>14</v>
      </c>
      <c r="D11" s="2" cm="1">
        <f t="array" ref="D11">_xll.DBR($A$5,C11,$E$1,$E$6,$E$5,"Amount")</f>
        <v>0</v>
      </c>
      <c r="E11" s="5">
        <f>IFERROR(D11/$D$12,0)</f>
        <v>0</v>
      </c>
      <c r="F11" s="2" cm="1">
        <f t="array" ref="F11">_xll.DBR($A$6,C11,"Total Source",$E$1,$H$6,$H$5,"Amount")</f>
        <v>-50049525.000000037</v>
      </c>
      <c r="G11" s="6">
        <f t="shared" ref="G11:G74" si="0">IFERROR(D11-F11,0)</f>
        <v>50049525.000000037</v>
      </c>
      <c r="H11" s="26">
        <f>IFERROR(F11/$F$12,0)</f>
        <v>-3.1348128206969396E-2</v>
      </c>
      <c r="I11" s="27">
        <f t="shared" ref="I11:I74" si="1">IFERROR((D11-F11)/ABS(F11),0)</f>
        <v>1</v>
      </c>
      <c r="J11" s="2" cm="1">
        <f t="array" ref="J11">_xll.DBR($A$6,C11,"Total Source",$E$1,$L$6,$L$5,"Amount")</f>
        <v>-30705060.626391549</v>
      </c>
      <c r="K11" s="6">
        <f t="shared" ref="K11:K74" si="2">IFERROR(D11-J11,0)</f>
        <v>30705060.626391549</v>
      </c>
      <c r="L11" s="26">
        <f>IFERROR(J11/$J$12,0)</f>
        <v>-3.0567681645481952E-2</v>
      </c>
      <c r="M11" s="27">
        <f t="shared" ref="M11:M74" si="3">IFERROR((D11-J11)/ABS(J11),0)</f>
        <v>1</v>
      </c>
      <c r="N11" s="2" cm="1">
        <f t="array" ref="N11">_xll.DBR($A$5,C11,$E$1,$O$6,$O$5,"Amount")</f>
        <v>-26332138.500000708</v>
      </c>
      <c r="O11" s="5">
        <f>IFERROR(N11/$N$12,0)</f>
        <v>-2.9203043220139141E-2</v>
      </c>
      <c r="P11" s="7"/>
      <c r="Q11" s="38" cm="1">
        <f t="array" ref="Q11">_xll.DBR($A$5,C11,$E$1,$R$6,$R$5&amp;"-YTD","Amount")</f>
        <v>-379710877.22000122</v>
      </c>
      <c r="R11" s="40">
        <f>IFERROR(Q11/$Q$12,0)</f>
        <v>-3.4099835189255696E-2</v>
      </c>
      <c r="S11" s="38" cm="1">
        <f t="array" ref="S11">_xll.DBR($A$6,C11,"Total Source",$E$1,$U$6,$U$5&amp;"-YTD","Amount")</f>
        <v>-476492756.99999988</v>
      </c>
      <c r="T11" s="39">
        <f t="shared" ref="T11:T74" si="4">IFERROR(Q11-S11,0)</f>
        <v>96781879.77999866</v>
      </c>
      <c r="U11" s="41">
        <f>IFERROR(S11/$S$12,0)</f>
        <v>-3.1842310845709286E-2</v>
      </c>
      <c r="V11" s="35">
        <f t="shared" ref="V11:V74" si="5">IFERROR((Q11-S11)/ABS(S11),0)</f>
        <v>0.20311301348909841</v>
      </c>
      <c r="W11" s="38" cm="1">
        <f t="array" ref="W11">_xll.DBR($A$6,C11,"Total Source",$E$1,$Y$6,$Y$5&amp;"-YTD","Amount")</f>
        <v>-411456089.25719815</v>
      </c>
      <c r="X11" s="39">
        <f t="shared" ref="X11:X74" si="6">IFERROR(Q11-W11,0)</f>
        <v>31745212.037196934</v>
      </c>
      <c r="Y11" s="41">
        <f>IFERROR(W11/$W$12,0)</f>
        <v>-3.3832632842340712E-2</v>
      </c>
      <c r="Z11" s="35">
        <f t="shared" ref="Z11:Z74" si="7">IFERROR((Q11-W11)/ABS(W11),0)</f>
        <v>7.7153341185219979E-2</v>
      </c>
      <c r="AA11" s="36" cm="1">
        <f t="array" ref="AA11">_xll.DBR($A$5,C11,$E$1,$AB$6,$AB$5&amp;"-YTD","Amount")</f>
        <v>-309993781.4100014</v>
      </c>
      <c r="AB11" s="35">
        <f>IFERROR(AA11/$AA$12,0)</f>
        <v>-3.3801894175009131E-2</v>
      </c>
    </row>
    <row r="12" spans="1:28">
      <c r="A12" s="7" t="s">
        <v>78</v>
      </c>
      <c r="B12" s="11"/>
      <c r="C12" s="22" t="s">
        <v>194</v>
      </c>
      <c r="D12" s="1" cm="1">
        <f t="array" ref="D12">_xll.DBR($A$5,C12,$E$1,$E$6,$E$5,"Amount")</f>
        <v>0</v>
      </c>
      <c r="E12" s="3">
        <f t="shared" ref="E12:E75" si="8">IFERROR(D12/$D$12,0)</f>
        <v>0</v>
      </c>
      <c r="F12" s="1" cm="1">
        <f t="array" ref="F12">_xll.DBR($A$6,C12,"Total Source",$E$1,$H$6,$H$5,"Amount")</f>
        <v>1596571401.9528892</v>
      </c>
      <c r="G12" s="4">
        <f t="shared" si="0"/>
        <v>-1596571401.9528892</v>
      </c>
      <c r="H12" s="23">
        <f t="shared" ref="H12:H75" si="9">IFERROR(F12/$F$12,0)</f>
        <v>1</v>
      </c>
      <c r="I12" s="24">
        <f t="shared" si="1"/>
        <v>-1</v>
      </c>
      <c r="J12" s="1" cm="1">
        <f t="array" ref="J12">_xll.DBR($A$6,C12,"Total Source",$E$1,$L$6,$L$5,"Amount")</f>
        <v>1004494255.8124915</v>
      </c>
      <c r="K12" s="4">
        <f t="shared" si="2"/>
        <v>-1004494255.8124915</v>
      </c>
      <c r="L12" s="23">
        <f t="shared" ref="L12:L75" si="10">IFERROR(J12/$J$12,0)</f>
        <v>1</v>
      </c>
      <c r="M12" s="24">
        <f t="shared" si="3"/>
        <v>-1</v>
      </c>
      <c r="N12" s="1" cm="1">
        <f t="array" ref="N12">_xll.DBR($A$5,C12,$E$1,$O$6,$O$5,"Amount")</f>
        <v>901691590.89013755</v>
      </c>
      <c r="O12" s="3">
        <f t="shared" ref="O12:O75" si="11">IFERROR(N12/$N$12,0)</f>
        <v>1</v>
      </c>
      <c r="P12" s="11"/>
      <c r="Q12" s="44" cm="1">
        <f t="array" ref="Q12">_xll.DBR($A$5,C12,$E$1,$R$6,$R$5&amp;"-YTD","Amount")</f>
        <v>11135270159.301003</v>
      </c>
      <c r="R12" s="47">
        <f t="shared" ref="R12:R75" si="12">IFERROR(Q12/$Q$12,0)</f>
        <v>1</v>
      </c>
      <c r="S12" s="44" cm="1">
        <f t="array" ref="S12">_xll.DBR($A$6,C12,"Total Source",$E$1,$U$6,$U$5&amp;"-YTD","Amount")</f>
        <v>14964138730.660206</v>
      </c>
      <c r="T12" s="33">
        <f t="shared" si="4"/>
        <v>-3828868571.3592033</v>
      </c>
      <c r="U12" s="48">
        <f t="shared" ref="U12:U75" si="13">IFERROR(S12/$S$12,0)</f>
        <v>1</v>
      </c>
      <c r="V12" s="50">
        <f t="shared" si="5"/>
        <v>-0.25586962539408886</v>
      </c>
      <c r="W12" s="44" cm="1">
        <f t="array" ref="W12">_xll.DBR($A$6,C12,"Total Source",$E$1,$Y$6,$Y$5&amp;"-YTD","Amount")</f>
        <v>12161515515.939123</v>
      </c>
      <c r="X12" s="33">
        <f t="shared" si="6"/>
        <v>-1026245356.6381207</v>
      </c>
      <c r="Y12" s="48">
        <f t="shared" ref="Y12:Y75" si="14">IFERROR(W12/$W$12,0)</f>
        <v>1</v>
      </c>
      <c r="Z12" s="50">
        <f t="shared" si="7"/>
        <v>-8.4384660389825852E-2</v>
      </c>
      <c r="AA12" s="34" cm="1">
        <f t="array" ref="AA12">_xll.DBR($A$5,C12,$E$1,$AB$6,$AB$5&amp;"-YTD","Amount")</f>
        <v>9170899707.7208214</v>
      </c>
      <c r="AB12" s="50">
        <f t="shared" ref="AB12:AB75" si="15">IFERROR(AA12/$AA$12,0)</f>
        <v>1</v>
      </c>
    </row>
    <row r="13" spans="1:28">
      <c r="A13" s="11"/>
      <c r="B13" s="11"/>
      <c r="C13" s="25" t="s">
        <v>15</v>
      </c>
      <c r="D13" s="2" cm="1">
        <f t="array" ref="D13">_xll.DBR($A$5,C13,$E$1,$E$6,$E$5,"Amount")+_xll.DBR($A$5,C11,$E$1,$E$6,$E$5,"Amount")</f>
        <v>-254772133.38999999</v>
      </c>
      <c r="E13" s="5">
        <f t="shared" si="8"/>
        <v>0</v>
      </c>
      <c r="F13" s="2" cm="1">
        <f t="array" ref="F13">_xll.DBR($A$6,C13,"Total Source",$E$1,$H$6,$H$5,"Amount")+_xll.DBR($A$6,C11,"Total Source",$E$1,$H$6,$H$5,"Amount")</f>
        <v>482710901.25673026</v>
      </c>
      <c r="G13" s="6"/>
      <c r="H13" s="23"/>
      <c r="I13" s="24"/>
      <c r="J13" s="1" cm="1">
        <f t="array" ref="J13">_xll.DBR($A$6,C13,"Total Source",$E$1,$L$6,$L$5,"Amount")+_xll.DBR($A$6,C11,"Total Source",$E$1,$L$6,$L$5,"Amount")</f>
        <v>346405011.36260116</v>
      </c>
      <c r="K13" s="4"/>
      <c r="L13" s="23"/>
      <c r="M13" s="24"/>
      <c r="N13" s="2" cm="1">
        <f t="array" ref="N13">_xll.DBR($A$5,C13,$E$1,$O$6,$O$5,"Amount")+_xll.DBR($A$5,C11,$E$1,$O$6,$O$5,"Amount")</f>
        <v>242293638.09059966</v>
      </c>
      <c r="O13" s="5"/>
      <c r="P13" s="7"/>
      <c r="Q13" s="38" cm="1">
        <f t="array" ref="Q13">_xll.DBR($A$5,C13,$E$1,$R$6,$R$5&amp;"-YTD","Amount")+-184074487.41</f>
        <v>3552118420.0710363</v>
      </c>
      <c r="R13" s="40"/>
      <c r="S13" s="38" cm="1">
        <f t="array" ref="S13">_xll.DBR($A$6,C13,"Total Source",$E$1,$U$6,$U$5&amp;"-YTD","Amount")+_xll.DBR($A$6,C11,"Total Source",$E$1,$U$6,$U$5&amp;"-YTD","Amount")</f>
        <v>4590070289.3780603</v>
      </c>
      <c r="T13" s="39"/>
      <c r="U13" s="41"/>
      <c r="V13" s="35"/>
      <c r="W13" s="38" cm="1">
        <f t="array" ref="W13">_xll.DBR($A$6,C13,"Total Source",$E$1,$Y$6,$Y$5&amp;"-YTD","Amount")+_xll.DBR($A$6,C11,"Total Source",$E$1,$Y$6,$Y$5&amp;"-YTD","Amount")</f>
        <v>3972340862.6794815</v>
      </c>
      <c r="X13" s="39"/>
      <c r="Y13" s="41"/>
      <c r="Z13" s="35"/>
      <c r="AA13" s="36" cm="1">
        <f t="array" ref="AA13">_xll.DBR($A$5,C13,$E$1,$AB$6,$AB$5&amp;"-YTD","Amount")+_xll.DBR($A$5,C11,$E$1,$AB$6,$AB$5&amp;"-YTD","Amount")</f>
        <v>2676274932.2811708</v>
      </c>
      <c r="AB13" s="50"/>
    </row>
    <row r="14" spans="1:28">
      <c r="A14" s="11"/>
      <c r="B14" s="11"/>
      <c r="C14" s="25" t="s">
        <v>16</v>
      </c>
      <c r="D14" s="2" cm="1">
        <f t="array" ref="D14">_xll.DBR($A$5,C14,$E$1,$E$6,$E$5,"Amount")</f>
        <v>0</v>
      </c>
      <c r="E14" s="5">
        <f t="shared" si="8"/>
        <v>0</v>
      </c>
      <c r="F14" s="2" cm="1">
        <f t="array" ref="F14">_xll.DBR($A$6,C14,"Total Source",$E$1,$H$6,$H$5,"Amount")</f>
        <v>-13725130</v>
      </c>
      <c r="G14" s="6">
        <f t="shared" si="0"/>
        <v>13725130</v>
      </c>
      <c r="H14" s="26">
        <f t="shared" si="9"/>
        <v>-8.596627738171771E-3</v>
      </c>
      <c r="I14" s="27">
        <f t="shared" si="1"/>
        <v>1</v>
      </c>
      <c r="J14" s="2" cm="1">
        <f t="array" ref="J14">_xll.DBR($A$6,C14,"Total Source",$E$1,$L$6,$L$5,"Amount")</f>
        <v>-11492280</v>
      </c>
      <c r="K14" s="6">
        <f t="shared" si="2"/>
        <v>11492280</v>
      </c>
      <c r="L14" s="26">
        <f t="shared" si="10"/>
        <v>-1.1440861840174881E-2</v>
      </c>
      <c r="M14" s="27">
        <f t="shared" si="3"/>
        <v>1</v>
      </c>
      <c r="N14" s="2" cm="1">
        <f t="array" ref="N14">_xll.DBR($A$5,C14,$E$1,$O$6,$O$5,"Amount")</f>
        <v>-9055086.5399999898</v>
      </c>
      <c r="O14" s="5">
        <f t="shared" si="11"/>
        <v>-1.0042332246950348E-2</v>
      </c>
      <c r="P14" s="7"/>
      <c r="Q14" s="38" cm="1">
        <f t="array" ref="Q14">_xll.DBR($A$5,C14,$E$1,$R$6,$R$5&amp;"-YTD","Amount")</f>
        <v>-105241161.27000003</v>
      </c>
      <c r="R14" s="40">
        <f t="shared" si="12"/>
        <v>-9.4511547330618471E-3</v>
      </c>
      <c r="S14" s="38" cm="1">
        <f t="array" ref="S14">_xll.DBR($A$6,C14,"Total Source",$E$1,$U$6,$U$5&amp;"-YTD","Amount")</f>
        <v>-141770928</v>
      </c>
      <c r="T14" s="39">
        <f t="shared" si="4"/>
        <v>36529766.729999974</v>
      </c>
      <c r="U14" s="41">
        <f t="shared" si="13"/>
        <v>-9.4740452859825349E-3</v>
      </c>
      <c r="V14" s="35">
        <f t="shared" si="5"/>
        <v>0.25766754330619868</v>
      </c>
      <c r="W14" s="38" cm="1">
        <f t="array" ref="W14">_xll.DBR($A$6,C14,"Total Source",$E$1,$Y$6,$Y$5&amp;"-YTD","Amount")</f>
        <v>-118288492.58000001</v>
      </c>
      <c r="X14" s="39">
        <f t="shared" si="6"/>
        <v>13047331.309999987</v>
      </c>
      <c r="Y14" s="41">
        <f t="shared" si="14"/>
        <v>-9.7264598663685271E-3</v>
      </c>
      <c r="Z14" s="35">
        <f t="shared" si="7"/>
        <v>0.11030093481980854</v>
      </c>
      <c r="AA14" s="36" cm="1">
        <f t="array" ref="AA14">_xll.DBR($A$5,C14,$E$1,$AB$6,$AB$5&amp;"-YTD","Amount")</f>
        <v>-90820305.390000001</v>
      </c>
      <c r="AB14" s="35">
        <f t="shared" si="15"/>
        <v>-9.9030965646194954E-3</v>
      </c>
    </row>
    <row r="15" spans="1:28">
      <c r="A15" s="11"/>
      <c r="B15" s="11"/>
      <c r="C15" s="25" t="s">
        <v>17</v>
      </c>
      <c r="D15" s="2" cm="1">
        <f t="array" ref="D15">_xll.DBR($A$5,C15,$E$1,$E$6,$E$5,"Amount")</f>
        <v>-6277547.6127083041</v>
      </c>
      <c r="E15" s="5">
        <f t="shared" si="8"/>
        <v>0</v>
      </c>
      <c r="F15" s="2" cm="1">
        <f t="array" ref="F15">_xll.DBR($A$6,C15,"Total Source",$E$1,$H$6,$H$5,"Amount")</f>
        <v>119190719.65728831</v>
      </c>
      <c r="G15" s="6">
        <f t="shared" si="0"/>
        <v>-125468267.26999661</v>
      </c>
      <c r="H15" s="26">
        <f t="shared" si="9"/>
        <v>7.4654174258349471E-2</v>
      </c>
      <c r="I15" s="27">
        <f t="shared" si="1"/>
        <v>-1.0526680905254895</v>
      </c>
      <c r="J15" s="2" cm="1">
        <f t="array" ref="J15">_xll.DBR($A$6,C15,"Total Source",$E$1,$L$6,$L$5,"Amount")</f>
        <v>74472383.643967584</v>
      </c>
      <c r="K15" s="6">
        <f t="shared" si="2"/>
        <v>-80749931.256675884</v>
      </c>
      <c r="L15" s="26">
        <f t="shared" si="10"/>
        <v>7.4139183188987101E-2</v>
      </c>
      <c r="M15" s="27">
        <f t="shared" si="3"/>
        <v>-1.0842936308138003</v>
      </c>
      <c r="N15" s="2" cm="1">
        <f t="array" ref="N15">_xll.DBR($A$5,C15,$E$1,$O$6,$O$5,"Amount")</f>
        <v>83789434.470090076</v>
      </c>
      <c r="O15" s="5">
        <f t="shared" si="11"/>
        <v>9.2924715408928563E-2</v>
      </c>
      <c r="P15" s="7"/>
      <c r="Q15" s="38" cm="1">
        <f t="array" ref="Q15">_xll.DBR($A$5,C15,$E$1,$R$6,$R$5&amp;"-YTD","Amount")</f>
        <v>691078837.55999982</v>
      </c>
      <c r="R15" s="40">
        <f t="shared" si="12"/>
        <v>6.2062152751880886E-2</v>
      </c>
      <c r="S15" s="38" cm="1">
        <f t="array" ref="S15">_xll.DBR($A$6,C15,"Total Source",$E$1,$U$6,$U$5&amp;"-YTD","Amount")</f>
        <v>1076275062.9795532</v>
      </c>
      <c r="T15" s="39">
        <f t="shared" si="4"/>
        <v>-385196225.4195534</v>
      </c>
      <c r="U15" s="41">
        <f t="shared" si="13"/>
        <v>7.1923622358188929E-2</v>
      </c>
      <c r="V15" s="35">
        <f t="shared" si="5"/>
        <v>-0.35789756603035894</v>
      </c>
      <c r="W15" s="38" cm="1">
        <f t="array" ref="W15">_xll.DBR($A$6,C15,"Total Source",$E$1,$Y$6,$Y$5&amp;"-YTD","Amount")</f>
        <v>782426333.52812529</v>
      </c>
      <c r="X15" s="39">
        <f t="shared" si="6"/>
        <v>-91347495.968125463</v>
      </c>
      <c r="Y15" s="41">
        <f t="shared" si="14"/>
        <v>6.4336252542099862E-2</v>
      </c>
      <c r="Z15" s="35">
        <f t="shared" si="7"/>
        <v>-0.11674900505485333</v>
      </c>
      <c r="AA15" s="36" cm="1">
        <f t="array" ref="AA15">_xll.DBR($A$5,C15,$E$1,$AB$6,$AB$5&amp;"-YTD","Amount")</f>
        <v>816591242.31008041</v>
      </c>
      <c r="AB15" s="35">
        <f t="shared" si="15"/>
        <v>8.9041562805730654E-2</v>
      </c>
    </row>
    <row r="16" spans="1:28">
      <c r="A16" s="11"/>
      <c r="B16" s="11"/>
      <c r="C16" s="25" t="s">
        <v>18</v>
      </c>
      <c r="D16" s="2" cm="1">
        <f t="array" ref="D16">_xll.DBR($A$5,C16,$E$1,$E$6,$E$5,"Amount")</f>
        <v>0</v>
      </c>
      <c r="E16" s="5">
        <f t="shared" si="8"/>
        <v>0</v>
      </c>
      <c r="F16" s="2" cm="1">
        <f t="array" ref="F16">_xll.DBR($A$6,C16,"Total Source",$E$1,$H$6,$H$5,"Amount")</f>
        <v>-21759138.97008333</v>
      </c>
      <c r="G16" s="6">
        <f t="shared" si="0"/>
        <v>21759138.97008333</v>
      </c>
      <c r="H16" s="26">
        <f t="shared" si="9"/>
        <v>-1.36286663681111E-2</v>
      </c>
      <c r="I16" s="27">
        <f t="shared" si="1"/>
        <v>1</v>
      </c>
      <c r="J16" s="2" cm="1">
        <f t="array" ref="J16">_xll.DBR($A$6,C16,"Total Source",$E$1,$L$6,$L$5,"Amount")</f>
        <v>-13990167.919993339</v>
      </c>
      <c r="K16" s="6">
        <f t="shared" si="2"/>
        <v>13990167.919993339</v>
      </c>
      <c r="L16" s="26">
        <f t="shared" si="10"/>
        <v>-1.3927573840307631E-2</v>
      </c>
      <c r="M16" s="27">
        <f t="shared" si="3"/>
        <v>1</v>
      </c>
      <c r="N16" s="2" cm="1">
        <f t="array" ref="N16">_xll.DBR($A$5,C16,$E$1,$O$6,$O$5,"Amount")</f>
        <v>-6518451.2994399993</v>
      </c>
      <c r="O16" s="5">
        <f t="shared" si="11"/>
        <v>-7.2291361761564988E-3</v>
      </c>
      <c r="P16" s="7"/>
      <c r="Q16" s="38" cm="1">
        <f t="array" ref="Q16">_xll.DBR($A$5,C16,$E$1,$R$6,$R$5&amp;"-YTD","Amount")</f>
        <v>-133247908.75000003</v>
      </c>
      <c r="R16" s="40">
        <f t="shared" si="12"/>
        <v>-1.1966293304406406E-2</v>
      </c>
      <c r="S16" s="38" cm="1">
        <f t="array" ref="S16">_xll.DBR($A$6,C16,"Total Source",$E$1,$U$6,$U$5&amp;"-YTD","Amount")</f>
        <v>-181377985.48798665</v>
      </c>
      <c r="T16" s="39">
        <f t="shared" si="4"/>
        <v>48130076.737986624</v>
      </c>
      <c r="U16" s="41">
        <f t="shared" si="13"/>
        <v>-1.2120843621715368E-2</v>
      </c>
      <c r="V16" s="35">
        <f t="shared" si="5"/>
        <v>0.26535787465328564</v>
      </c>
      <c r="W16" s="38" cm="1">
        <f t="array" ref="W16">_xll.DBR($A$6,C16,"Total Source",$E$1,$Y$6,$Y$5&amp;"-YTD","Amount")</f>
        <v>-151272892.97444668</v>
      </c>
      <c r="X16" s="39">
        <f t="shared" si="6"/>
        <v>18024984.224446654</v>
      </c>
      <c r="Y16" s="41">
        <f t="shared" si="14"/>
        <v>-1.2438654769315998E-2</v>
      </c>
      <c r="Z16" s="35">
        <f t="shared" si="7"/>
        <v>0.11915541423202285</v>
      </c>
      <c r="AA16" s="36" cm="1">
        <f t="array" ref="AA16">_xll.DBR($A$5,C16,$E$1,$AB$6,$AB$5&amp;"-YTD","Amount")</f>
        <v>-127289490.20000003</v>
      </c>
      <c r="AB16" s="35">
        <f t="shared" si="15"/>
        <v>-1.387971674064184E-2</v>
      </c>
    </row>
    <row r="17" spans="1:28">
      <c r="A17" s="11"/>
      <c r="B17" s="11"/>
      <c r="C17" s="25" t="s">
        <v>19</v>
      </c>
      <c r="D17" s="2" cm="1">
        <f t="array" ref="D17">_xll.DBR($A$5,C17,$E$1,$E$6,$E$5,"Amount")</f>
        <v>1841152.0799999994</v>
      </c>
      <c r="E17" s="5">
        <f t="shared" si="8"/>
        <v>0</v>
      </c>
      <c r="F17" s="2" cm="1">
        <f t="array" ref="F17">_xll.DBR($A$6,C17,"Total Source",$E$1,$H$6,$H$5,"Amount")</f>
        <v>-4947807.8759636655</v>
      </c>
      <c r="G17" s="6">
        <f t="shared" si="0"/>
        <v>6788959.9559636647</v>
      </c>
      <c r="H17" s="26">
        <f t="shared" si="9"/>
        <v>-3.0990207327474496E-3</v>
      </c>
      <c r="I17" s="27">
        <f t="shared" si="1"/>
        <v>1.3721147073927977</v>
      </c>
      <c r="J17" s="2" cm="1">
        <f t="array" ref="J17">_xll.DBR($A$6,C17,"Total Source",$E$1,$L$6,$L$5,"Amount")</f>
        <v>-6887146.7373475842</v>
      </c>
      <c r="K17" s="6">
        <f t="shared" si="2"/>
        <v>8728298.8173475843</v>
      </c>
      <c r="L17" s="26">
        <f t="shared" si="10"/>
        <v>-6.8563326245971133E-3</v>
      </c>
      <c r="M17" s="27">
        <f t="shared" si="3"/>
        <v>1.2673316178985718</v>
      </c>
      <c r="N17" s="2" cm="1">
        <f t="array" ref="N17">_xll.DBR($A$5,C17,$E$1,$O$6,$O$5,"Amount")</f>
        <v>-4443813.1499999966</v>
      </c>
      <c r="O17" s="5">
        <f t="shared" si="11"/>
        <v>-4.9283071893940203E-3</v>
      </c>
      <c r="P17" s="7"/>
      <c r="Q17" s="38" cm="1">
        <f t="array" ref="Q17">_xll.DBR($A$5,C17,$E$1,$R$6,$R$5&amp;"-YTD","Amount")</f>
        <v>-53349457.069999978</v>
      </c>
      <c r="R17" s="40">
        <f t="shared" si="12"/>
        <v>-4.7910339225527062E-3</v>
      </c>
      <c r="S17" s="38" cm="1">
        <f t="array" ref="S17">_xll.DBR($A$6,C17,"Total Source",$E$1,$U$6,$U$5&amp;"-YTD","Amount")</f>
        <v>-61138176.842316464</v>
      </c>
      <c r="T17" s="39">
        <f t="shared" si="4"/>
        <v>7788719.7723164856</v>
      </c>
      <c r="U17" s="41">
        <f t="shared" si="13"/>
        <v>-4.0856462201228939E-3</v>
      </c>
      <c r="V17" s="35">
        <f t="shared" si="5"/>
        <v>0.12739535548147987</v>
      </c>
      <c r="W17" s="38" cm="1">
        <f t="array" ref="W17">_xll.DBR($A$6,C17,"Total Source",$E$1,$Y$6,$Y$5&amp;"-YTD","Amount")</f>
        <v>-59434174.196980834</v>
      </c>
      <c r="X17" s="39">
        <f t="shared" si="6"/>
        <v>6084717.1269808561</v>
      </c>
      <c r="Y17" s="41">
        <f t="shared" si="14"/>
        <v>-4.8870697175105544E-3</v>
      </c>
      <c r="Z17" s="35">
        <f t="shared" si="7"/>
        <v>0.10237741516882976</v>
      </c>
      <c r="AA17" s="36" cm="1">
        <f t="array" ref="AA17">_xll.DBR($A$5,C17,$E$1,$AB$6,$AB$5&amp;"-YTD","Amount")</f>
        <v>-37378077.529999979</v>
      </c>
      <c r="AB17" s="35">
        <f t="shared" si="15"/>
        <v>-4.075726343243294E-3</v>
      </c>
    </row>
    <row r="18" spans="1:28">
      <c r="A18" s="11"/>
      <c r="B18" s="11"/>
      <c r="C18" s="25" t="s">
        <v>20</v>
      </c>
      <c r="D18" s="2" cm="1">
        <f t="array" ref="D18">_xll.DBR($A$5,C18,$E$1,$E$6,$E$5,"Amount")</f>
        <v>-14424651.997260999</v>
      </c>
      <c r="E18" s="5">
        <f t="shared" si="8"/>
        <v>0</v>
      </c>
      <c r="F18" s="2" cm="1">
        <f t="array" ref="F18">_xll.DBR($A$6,C18,"Total Source",$E$1,$H$6,$H$5,"Amount")</f>
        <v>-24158505.652369495</v>
      </c>
      <c r="G18" s="6">
        <f t="shared" si="0"/>
        <v>9733853.6551084965</v>
      </c>
      <c r="H18" s="26">
        <f t="shared" si="9"/>
        <v>-1.5131490907841248E-2</v>
      </c>
      <c r="I18" s="27">
        <f t="shared" si="1"/>
        <v>0.40291621490064261</v>
      </c>
      <c r="J18" s="2" cm="1">
        <f t="array" ref="J18">_xll.DBR($A$6,C18,"Total Source",$E$1,$L$6,$L$5,"Amount")</f>
        <v>-21560050.684795599</v>
      </c>
      <c r="K18" s="6">
        <f t="shared" si="2"/>
        <v>7135398.6875346005</v>
      </c>
      <c r="L18" s="26">
        <f t="shared" si="10"/>
        <v>-2.1463587830431757E-2</v>
      </c>
      <c r="M18" s="27">
        <f t="shared" si="3"/>
        <v>0.33095463419140136</v>
      </c>
      <c r="N18" s="2" cm="1">
        <f t="array" ref="N18">_xll.DBR($A$5,C18,$E$1,$O$6,$O$5,"Amount")</f>
        <v>-19895339.302450161</v>
      </c>
      <c r="O18" s="5">
        <f t="shared" si="11"/>
        <v>-2.2064461400610108E-2</v>
      </c>
      <c r="P18" s="7"/>
      <c r="Q18" s="38" cm="1">
        <f t="array" ref="Q18">_xll.DBR($A$5,C18,$E$1,$R$6,$R$5&amp;"-YTD","Amount")</f>
        <v>-218697817.47999999</v>
      </c>
      <c r="R18" s="40">
        <f t="shared" si="12"/>
        <v>-1.9640099822573892E-2</v>
      </c>
      <c r="S18" s="38" cm="1">
        <f t="array" ref="S18">_xll.DBR($A$6,C18,"Total Source",$E$1,$U$6,$U$5&amp;"-YTD","Amount")</f>
        <v>-239516592.06307071</v>
      </c>
      <c r="T18" s="39">
        <f t="shared" si="4"/>
        <v>20818774.583070725</v>
      </c>
      <c r="U18" s="41">
        <f t="shared" si="13"/>
        <v>-1.6006039263210134E-2</v>
      </c>
      <c r="V18" s="35">
        <f t="shared" si="5"/>
        <v>8.6919968273382164E-2</v>
      </c>
      <c r="W18" s="38" cm="1">
        <f t="array" ref="W18">_xll.DBR($A$6,C18,"Total Source",$E$1,$Y$6,$Y$5&amp;"-YTD","Amount")</f>
        <v>-228855035.59836549</v>
      </c>
      <c r="X18" s="39">
        <f t="shared" si="6"/>
        <v>10157218.118365496</v>
      </c>
      <c r="Y18" s="41">
        <f t="shared" si="14"/>
        <v>-1.8817970120452797E-2</v>
      </c>
      <c r="Z18" s="35">
        <f t="shared" si="7"/>
        <v>4.4382759993934082E-2</v>
      </c>
      <c r="AA18" s="36" cm="1">
        <f t="array" ref="AA18">_xll.DBR($A$5,C18,$E$1,$AB$6,$AB$5&amp;"-YTD","Amount")</f>
        <v>-163264454.02954021</v>
      </c>
      <c r="AB18" s="35">
        <f t="shared" si="15"/>
        <v>-1.7802446786337734E-2</v>
      </c>
    </row>
    <row r="19" spans="1:28">
      <c r="A19" s="11"/>
      <c r="B19" s="11"/>
      <c r="C19" s="25" t="s">
        <v>21</v>
      </c>
      <c r="D19" s="2"/>
      <c r="E19" s="5"/>
      <c r="F19" s="1"/>
      <c r="G19" s="6"/>
      <c r="H19" s="26"/>
      <c r="I19" s="27"/>
      <c r="J19" s="2"/>
      <c r="K19" s="6"/>
      <c r="L19" s="26"/>
      <c r="M19" s="27"/>
      <c r="N19" s="2"/>
      <c r="O19" s="5"/>
      <c r="P19" s="7"/>
      <c r="Q19" s="38"/>
      <c r="R19" s="40"/>
      <c r="S19" s="38"/>
      <c r="T19" s="39"/>
      <c r="U19" s="41"/>
      <c r="V19" s="35"/>
      <c r="W19" s="38"/>
      <c r="X19" s="39"/>
      <c r="Y19" s="41"/>
      <c r="Z19" s="35"/>
      <c r="AA19" s="36"/>
      <c r="AB19" s="35"/>
    </row>
    <row r="20" spans="1:28">
      <c r="A20" s="11"/>
      <c r="B20" s="11"/>
      <c r="C20" s="22" t="s">
        <v>22</v>
      </c>
      <c r="D20" s="1" cm="1">
        <f t="array" ref="D20">_xll.DBR($A$5,C20,$E$1,$E$6,$E$5,"Amount")</f>
        <v>-273633180.91996926</v>
      </c>
      <c r="E20" s="3">
        <f t="shared" si="8"/>
        <v>0</v>
      </c>
      <c r="F20" s="1" cm="1">
        <f t="array" ref="F20">_xll.DBR($A$6,C20,"Total Source",$E$1,$H$6,$H$5,"Amount")</f>
        <v>554270169.72381723</v>
      </c>
      <c r="G20" s="4">
        <f t="shared" si="0"/>
        <v>-827903350.64378643</v>
      </c>
      <c r="H20" s="23">
        <f t="shared" si="9"/>
        <v>0.34716278210034751</v>
      </c>
      <c r="I20" s="24">
        <f t="shared" si="1"/>
        <v>-1.4936819548782783</v>
      </c>
      <c r="J20" s="1" cm="1">
        <f t="array" ref="J20">_xll.DBR($A$6,C20,"Total Source",$E$1,$L$6,$L$5,"Amount")</f>
        <v>389770067.36195779</v>
      </c>
      <c r="K20" s="4">
        <f t="shared" si="2"/>
        <v>-663403248.28192711</v>
      </c>
      <c r="L20" s="23">
        <f t="shared" si="10"/>
        <v>0.38802617845404186</v>
      </c>
      <c r="M20" s="24">
        <f t="shared" si="3"/>
        <v>-1.7020374416434123</v>
      </c>
      <c r="N20" s="1" cm="1">
        <f t="array" ref="N20">_xll.DBR($A$5,C20,$E$1,$O$6,$O$5,"Amount")</f>
        <v>296955654.13879955</v>
      </c>
      <c r="O20" s="3">
        <f t="shared" si="11"/>
        <v>0.32933173286627748</v>
      </c>
      <c r="P20" s="7"/>
      <c r="Q20" s="44" cm="1">
        <f t="array" ref="Q20">_xll.DBR($A$5,C20,$E$1,$R$6,$R$5&amp;"-YTD","Amount")</f>
        <v>3747536365.5210376</v>
      </c>
      <c r="R20" s="47">
        <f t="shared" si="12"/>
        <v>0.33654651498426535</v>
      </c>
      <c r="S20" s="44" cm="1">
        <f t="array" ref="S20">_xll.DBR($A$6,C20,"Total Source",$E$1,$U$6,$U$5&amp;"-YTD","Amount")</f>
        <v>5201268714.0582209</v>
      </c>
      <c r="T20" s="33">
        <f t="shared" si="4"/>
        <v>-1453732348.5371833</v>
      </c>
      <c r="U20" s="48">
        <f t="shared" si="13"/>
        <v>0.34758223026904167</v>
      </c>
      <c r="V20" s="50">
        <f t="shared" si="5"/>
        <v>-0.2794957208436416</v>
      </c>
      <c r="W20" s="44" cm="1">
        <f t="array" ref="W20">_xll.DBR($A$6,C20,"Total Source",$E$1,$Y$6,$Y$5&amp;"-YTD","Amount")</f>
        <v>4427014470.5197029</v>
      </c>
      <c r="X20" s="33">
        <f t="shared" si="6"/>
        <v>-679478104.99866533</v>
      </c>
      <c r="Y20" s="48">
        <f t="shared" si="14"/>
        <v>0.36401832195317846</v>
      </c>
      <c r="Z20" s="50">
        <f t="shared" si="7"/>
        <v>-0.15348450056430446</v>
      </c>
      <c r="AA20" s="34" cm="1">
        <f t="array" ref="AA20">_xll.DBR($A$5,C20,$E$1,$AB$6,$AB$5&amp;"-YTD","Amount")</f>
        <v>3113581702.0817094</v>
      </c>
      <c r="AB20" s="50">
        <f t="shared" si="15"/>
        <v>0.33950667887693059</v>
      </c>
    </row>
    <row r="21" spans="1:28">
      <c r="A21" s="11"/>
      <c r="B21" s="11"/>
      <c r="C21" s="22" t="s">
        <v>23</v>
      </c>
      <c r="D21" s="1" cm="1">
        <f t="array" ref="D21">_xll.DBR($A$5,C21,$E$1,$E$6,$E$5,"Amount")</f>
        <v>-180731016.61007017</v>
      </c>
      <c r="E21" s="3">
        <f t="shared" si="8"/>
        <v>0</v>
      </c>
      <c r="F21" s="1" cm="1">
        <f t="array" ref="F21">_xll.DBR($A$6,C21,"Total Source",$E$1,$H$6,$H$5,"Amount")</f>
        <v>-327223134.01195168</v>
      </c>
      <c r="G21" s="4">
        <f t="shared" si="0"/>
        <v>146492117.40188152</v>
      </c>
      <c r="H21" s="23">
        <f t="shared" si="9"/>
        <v>-0.20495364855696396</v>
      </c>
      <c r="I21" s="24">
        <f t="shared" si="1"/>
        <v>0.4476826427453352</v>
      </c>
      <c r="J21" s="1" cm="1">
        <f t="array" ref="J21">_xll.DBR($A$6,C21,"Total Source",$E$1,$L$6,$L$5,"Amount")</f>
        <v>-332016702.92752695</v>
      </c>
      <c r="K21" s="4">
        <f t="shared" si="2"/>
        <v>151285686.31745678</v>
      </c>
      <c r="L21" s="23">
        <f t="shared" si="10"/>
        <v>-0.33053121111078243</v>
      </c>
      <c r="M21" s="24">
        <f t="shared" si="3"/>
        <v>0.45565685395797578</v>
      </c>
      <c r="N21" s="1" cm="1">
        <f t="array" ref="N21">_xll.DBR($A$5,C21,$E$1,$O$6,$O$5,"Amount")</f>
        <v>-249624884.59957024</v>
      </c>
      <c r="O21" s="3">
        <f t="shared" si="11"/>
        <v>-0.27684064831207306</v>
      </c>
      <c r="P21" s="7"/>
      <c r="Q21" s="44" cm="1">
        <f t="array" ref="Q21">_xll.DBR($A$5,C21,$E$1,$R$6,$R$5&amp;"-YTD","Amount")</f>
        <v>-3838854542.21</v>
      </c>
      <c r="R21" s="47">
        <f t="shared" si="12"/>
        <v>-0.34474731975887485</v>
      </c>
      <c r="S21" s="44" cm="1">
        <f t="array" ref="S21">_xll.DBR($A$6,C21,"Total Source",$E$1,$U$6,$U$5&amp;"-YTD","Amount")</f>
        <v>-3686339869.4460359</v>
      </c>
      <c r="T21" s="33">
        <f t="shared" si="4"/>
        <v>-152514672.76396418</v>
      </c>
      <c r="U21" s="48">
        <f t="shared" si="13"/>
        <v>-0.2463449407811924</v>
      </c>
      <c r="V21" s="50">
        <f t="shared" si="5"/>
        <v>-4.1372927664123191E-2</v>
      </c>
      <c r="W21" s="44" cm="1">
        <f t="array" ref="W21">_xll.DBR($A$6,C21,"Total Source",$E$1,$Y$6,$Y$5&amp;"-YTD","Amount")</f>
        <v>-3934804531.792273</v>
      </c>
      <c r="X21" s="33">
        <f t="shared" si="6"/>
        <v>95949989.582273006</v>
      </c>
      <c r="Y21" s="48">
        <f t="shared" si="14"/>
        <v>-0.32354557510823717</v>
      </c>
      <c r="Z21" s="50">
        <f t="shared" si="7"/>
        <v>2.4384944361789816E-2</v>
      </c>
      <c r="AA21" s="34" cm="1">
        <f t="array" ref="AA21">_xll.DBR($A$5,C21,$E$1,$AB$6,$AB$5&amp;"-YTD","Amount")</f>
        <v>-2300781131.109499</v>
      </c>
      <c r="AB21" s="50">
        <f t="shared" si="15"/>
        <v>-0.25087845298019246</v>
      </c>
    </row>
    <row r="22" spans="1:28">
      <c r="A22" s="11"/>
      <c r="B22" s="11"/>
      <c r="C22" s="25" t="s">
        <v>24</v>
      </c>
      <c r="D22" s="2" cm="1">
        <f t="array" ref="D22">_xll.DBR($A$5,C22,$E$1,$E$6,$E$5,"Amount")</f>
        <v>-3.9982711314223707E-5</v>
      </c>
      <c r="E22" s="5">
        <f t="shared" si="8"/>
        <v>0</v>
      </c>
      <c r="F22" s="2" cm="1">
        <f t="array" ref="F22">_xll.DBR($A$6,C22,"Total Source",$E$1,$H$6,$H$5,"Amount")</f>
        <v>-137236315.24875602</v>
      </c>
      <c r="G22" s="6">
        <f t="shared" si="0"/>
        <v>137236315.24871603</v>
      </c>
      <c r="H22" s="26">
        <f t="shared" si="9"/>
        <v>-8.5956891800073418E-2</v>
      </c>
      <c r="I22" s="27">
        <f t="shared" si="1"/>
        <v>0.99999999999970857</v>
      </c>
      <c r="J22" s="2" cm="1">
        <f t="array" ref="J22">_xll.DBR($A$6,C22,"Total Source",$E$1,$L$6,$L$5,"Amount")</f>
        <v>-96247054.493057594</v>
      </c>
      <c r="K22" s="6">
        <f t="shared" si="2"/>
        <v>96247054.493017614</v>
      </c>
      <c r="L22" s="26">
        <f t="shared" si="10"/>
        <v>-9.5816430941367159E-2</v>
      </c>
      <c r="M22" s="27">
        <f t="shared" si="3"/>
        <v>0.99999999999958467</v>
      </c>
      <c r="N22" s="2" cm="1">
        <f t="array" ref="N22">_xll.DBR($A$5,C22,$E$1,$O$6,$O$5,"Amount")</f>
        <v>-93701132.880030021</v>
      </c>
      <c r="O22" s="5">
        <f t="shared" si="11"/>
        <v>-0.10391705304418948</v>
      </c>
      <c r="P22" s="7"/>
      <c r="Q22" s="38" cm="1">
        <f t="array" ref="Q22">_xll.DBR($A$5,C22,$E$1,$R$6,$R$5&amp;"-YTD","Amount")</f>
        <v>-1221943369.54</v>
      </c>
      <c r="R22" s="40">
        <f t="shared" si="12"/>
        <v>-0.10973630204376697</v>
      </c>
      <c r="S22" s="38" cm="1">
        <f t="array" ref="S22">_xll.DBR($A$6,C22,"Total Source",$E$1,$U$6,$U$5&amp;"-YTD","Amount")</f>
        <v>-1444680366.9019525</v>
      </c>
      <c r="T22" s="39">
        <f t="shared" si="4"/>
        <v>222736997.36195254</v>
      </c>
      <c r="U22" s="41">
        <f t="shared" si="13"/>
        <v>-9.654283436586493E-2</v>
      </c>
      <c r="V22" s="35">
        <f t="shared" si="5"/>
        <v>0.15417735470414215</v>
      </c>
      <c r="W22" s="38" cm="1">
        <f t="array" ref="W22">_xll.DBR($A$6,C22,"Total Source",$E$1,$Y$6,$Y$5&amp;"-YTD","Amount")</f>
        <v>-1298378432.642226</v>
      </c>
      <c r="X22" s="39">
        <f t="shared" si="6"/>
        <v>76435063.102226019</v>
      </c>
      <c r="Y22" s="41">
        <f t="shared" si="14"/>
        <v>-0.10676123637227165</v>
      </c>
      <c r="Z22" s="35">
        <f t="shared" si="7"/>
        <v>5.8869633983891077E-2</v>
      </c>
      <c r="AA22" s="36" cm="1">
        <f t="array" ref="AA22">_xll.DBR($A$5,C22,$E$1,$AB$6,$AB$5&amp;"-YTD","Amount")</f>
        <v>-842427933.79005039</v>
      </c>
      <c r="AB22" s="35">
        <f t="shared" si="15"/>
        <v>-9.1858810001032382E-2</v>
      </c>
    </row>
    <row r="23" spans="1:28">
      <c r="A23" s="11"/>
      <c r="B23" s="11"/>
      <c r="C23" s="25" t="s">
        <v>25</v>
      </c>
      <c r="D23" s="2" cm="1">
        <f t="array" ref="D23">_xll.DBR($A$5,C23,$E$1,$E$6,$E$5,"Amount")</f>
        <v>0</v>
      </c>
      <c r="E23" s="5">
        <f t="shared" si="8"/>
        <v>0</v>
      </c>
      <c r="F23" s="2" cm="1">
        <f t="array" ref="F23">_xll.DBR($A$6,C23,"Total Source",$E$1,$H$6,$H$5,"Amount")</f>
        <v>-32560312.150489986</v>
      </c>
      <c r="G23" s="6">
        <f t="shared" si="0"/>
        <v>32560312.150489986</v>
      </c>
      <c r="H23" s="26">
        <f t="shared" si="9"/>
        <v>-2.0393896640427709E-2</v>
      </c>
      <c r="I23" s="27">
        <f t="shared" si="1"/>
        <v>1</v>
      </c>
      <c r="J23" s="2" cm="1">
        <f t="array" ref="J23">_xll.DBR($A$6,C23,"Total Source",$E$1,$L$6,$L$5,"Amount")</f>
        <v>-31821140.485556673</v>
      </c>
      <c r="K23" s="6">
        <f t="shared" si="2"/>
        <v>31821140.485556673</v>
      </c>
      <c r="L23" s="26">
        <f t="shared" si="10"/>
        <v>-3.1678767998347526E-2</v>
      </c>
      <c r="M23" s="27">
        <f t="shared" si="3"/>
        <v>1</v>
      </c>
      <c r="N23" s="2" cm="1">
        <f t="array" ref="N23">_xll.DBR($A$5,C23,$E$1,$O$6,$O$5,"Amount")</f>
        <v>-24971371.478220019</v>
      </c>
      <c r="O23" s="5">
        <f t="shared" si="11"/>
        <v>-2.7693916335150275E-2</v>
      </c>
      <c r="P23" s="7"/>
      <c r="Q23" s="38" cm="1">
        <f t="array" ref="Q23">_xll.DBR($A$5,C23,$E$1,$R$6,$R$5&amp;"-YTD","Amount")</f>
        <v>-507136142.71999997</v>
      </c>
      <c r="R23" s="40">
        <f t="shared" si="12"/>
        <v>-4.5543227552175936E-2</v>
      </c>
      <c r="S23" s="38" cm="1">
        <f t="array" ref="S23">_xll.DBR($A$6,C23,"Total Source",$E$1,$U$6,$U$5&amp;"-YTD","Amount")</f>
        <v>-420009126.29016036</v>
      </c>
      <c r="T23" s="39">
        <f t="shared" si="4"/>
        <v>-87127016.429839611</v>
      </c>
      <c r="U23" s="41">
        <f t="shared" si="13"/>
        <v>-2.8067711336409795E-2</v>
      </c>
      <c r="V23" s="35">
        <f t="shared" si="5"/>
        <v>-0.20744076967901057</v>
      </c>
      <c r="W23" s="38" cm="1">
        <f t="array" ref="W23">_xll.DBR($A$6,C23,"Total Source",$E$1,$Y$6,$Y$5&amp;"-YTD","Amount")</f>
        <v>-493574368.57111329</v>
      </c>
      <c r="X23" s="39">
        <f t="shared" si="6"/>
        <v>-13561774.148886681</v>
      </c>
      <c r="Y23" s="41">
        <f t="shared" si="14"/>
        <v>-4.0584939263879155E-2</v>
      </c>
      <c r="Z23" s="35">
        <f t="shared" si="7"/>
        <v>-2.7476658052863871E-2</v>
      </c>
      <c r="AA23" s="36" cm="1">
        <f t="array" ref="AA23">_xll.DBR($A$5,C23,$E$1,$AB$6,$AB$5&amp;"-YTD","Amount")</f>
        <v>-259387407.56</v>
      </c>
      <c r="AB23" s="35">
        <f t="shared" si="15"/>
        <v>-2.8283747050643925E-2</v>
      </c>
    </row>
    <row r="24" spans="1:28">
      <c r="A24" s="7"/>
      <c r="B24" s="7"/>
      <c r="C24" s="25" t="s">
        <v>26</v>
      </c>
      <c r="D24" s="2" cm="1">
        <f t="array" ref="D24">_xll.DBR($A$5,C24,$E$1,$E$6,$E$5,"Amount")</f>
        <v>-5033564.8900000015</v>
      </c>
      <c r="E24" s="5">
        <f t="shared" si="8"/>
        <v>0</v>
      </c>
      <c r="F24" s="2" cm="1">
        <f t="array" ref="F24">_xll.DBR($A$6,C24,"Total Source",$E$1,$H$6,$H$5,"Amount")</f>
        <v>-1486212</v>
      </c>
      <c r="G24" s="6">
        <f t="shared" si="0"/>
        <v>-3547352.8900000015</v>
      </c>
      <c r="H24" s="26">
        <f t="shared" si="9"/>
        <v>-9.3087725245616945E-4</v>
      </c>
      <c r="I24" s="27">
        <f t="shared" si="1"/>
        <v>-2.38684177627418</v>
      </c>
      <c r="J24" s="2" cm="1">
        <f t="array" ref="J24">_xll.DBR($A$6,C24,"Total Source",$E$1,$L$6,$L$5,"Amount")</f>
        <v>1333668.0509397725</v>
      </c>
      <c r="K24" s="6">
        <f t="shared" si="2"/>
        <v>-6367232.9409397738</v>
      </c>
      <c r="L24" s="26">
        <f t="shared" si="10"/>
        <v>1.3277010229003517E-3</v>
      </c>
      <c r="M24" s="27">
        <f t="shared" si="3"/>
        <v>-4.7742261925320078</v>
      </c>
      <c r="N24" s="2" cm="1">
        <f t="array" ref="N24">_xll.DBR($A$5,C24,$E$1,$O$6,$O$5,"Amount")</f>
        <v>-1030118.5658499999</v>
      </c>
      <c r="O24" s="5">
        <f t="shared" si="11"/>
        <v>-1.1424289371858077E-3</v>
      </c>
      <c r="P24" s="7"/>
      <c r="Q24" s="38" cm="1">
        <f t="array" ref="Q24">_xll.DBR($A$5,C24,$E$1,$R$6,$R$5&amp;"-YTD","Amount")</f>
        <v>-641401.12999997288</v>
      </c>
      <c r="R24" s="40">
        <f t="shared" si="12"/>
        <v>-5.7600859325736895E-5</v>
      </c>
      <c r="S24" s="38" cm="1">
        <f t="array" ref="S24">_xll.DBR($A$6,C24,"Total Source",$E$1,$U$6,$U$5&amp;"-YTD","Amount")</f>
        <v>-54928447</v>
      </c>
      <c r="T24" s="39">
        <f t="shared" si="4"/>
        <v>54287045.870000027</v>
      </c>
      <c r="U24" s="41">
        <f t="shared" si="13"/>
        <v>-3.670672130796037E-3</v>
      </c>
      <c r="V24" s="35">
        <f t="shared" si="5"/>
        <v>0.98832296988116242</v>
      </c>
      <c r="W24" s="38" cm="1">
        <f t="array" ref="W24">_xll.DBR($A$6,C24,"Total Source",$E$1,$Y$6,$Y$5&amp;"-YTD","Amount")</f>
        <v>4720742.9438063912</v>
      </c>
      <c r="X24" s="39">
        <f t="shared" si="6"/>
        <v>-5362144.0738063641</v>
      </c>
      <c r="Y24" s="41">
        <f t="shared" si="14"/>
        <v>3.8817061390246073E-4</v>
      </c>
      <c r="Z24" s="35">
        <f t="shared" si="7"/>
        <v>-1.135868683729431</v>
      </c>
      <c r="AA24" s="36" cm="1">
        <f t="array" ref="AA24">_xll.DBR($A$5,C24,$E$1,$AB$6,$AB$5&amp;"-YTD","Amount")</f>
        <v>-3023079.6904499871</v>
      </c>
      <c r="AB24" s="35">
        <f t="shared" si="15"/>
        <v>-3.2963828924057565E-4</v>
      </c>
    </row>
    <row r="25" spans="1:28">
      <c r="A25" s="7" t="s">
        <v>5</v>
      </c>
      <c r="B25" s="7"/>
      <c r="C25" s="25" t="s">
        <v>27</v>
      </c>
      <c r="D25" s="2" cm="1">
        <f t="array" ref="D25">_xll.DBR($A$5,C25,$E$1,$E$6,$E$5,"Amount")</f>
        <v>0</v>
      </c>
      <c r="E25" s="5">
        <f t="shared" si="8"/>
        <v>0</v>
      </c>
      <c r="F25" s="2" cm="1">
        <f t="array" ref="F25">_xll.DBR($A$6,C25,"Total Source",$E$1,$H$6,$H$5,"Amount")</f>
        <v>-9707213.8299262524</v>
      </c>
      <c r="G25" s="6">
        <f t="shared" si="0"/>
        <v>9707213.8299262524</v>
      </c>
      <c r="H25" s="26">
        <f t="shared" si="9"/>
        <v>-6.0800373964187337E-3</v>
      </c>
      <c r="I25" s="27">
        <f t="shared" si="1"/>
        <v>1</v>
      </c>
      <c r="J25" s="2" cm="1">
        <f t="array" ref="J25">_xll.DBR($A$6,C25,"Total Source",$E$1,$L$6,$L$5,"Amount")</f>
        <v>-6390404.5749999247</v>
      </c>
      <c r="K25" s="6">
        <f t="shared" si="2"/>
        <v>6390404.5749999247</v>
      </c>
      <c r="L25" s="26">
        <f t="shared" si="10"/>
        <v>-6.3618129601258951E-3</v>
      </c>
      <c r="M25" s="27">
        <f t="shared" si="3"/>
        <v>1</v>
      </c>
      <c r="N25" s="2" cm="1">
        <f t="array" ref="N25">_xll.DBR($A$5,C25,$E$1,$O$6,$O$5,"Amount")</f>
        <v>-6776107.2437900063</v>
      </c>
      <c r="O25" s="5">
        <f t="shared" si="11"/>
        <v>-7.5148834837205549E-3</v>
      </c>
      <c r="P25" s="7"/>
      <c r="Q25" s="38" cm="1">
        <f t="array" ref="Q25">_xll.DBR($A$5,C25,$E$1,$R$6,$R$5&amp;"-YTD","Amount")</f>
        <v>-107294891.62000006</v>
      </c>
      <c r="R25" s="40">
        <f t="shared" si="12"/>
        <v>-9.6355894455222909E-3</v>
      </c>
      <c r="S25" s="38" cm="1">
        <f t="array" ref="S25">_xll.DBR($A$6,C25,"Total Source",$E$1,$U$6,$U$5&amp;"-YTD","Amount")</f>
        <v>-106707857.74208711</v>
      </c>
      <c r="T25" s="39">
        <f t="shared" si="4"/>
        <v>-587033.8779129535</v>
      </c>
      <c r="U25" s="41">
        <f t="shared" si="13"/>
        <v>-7.130905404094663E-3</v>
      </c>
      <c r="V25" s="35">
        <f t="shared" si="5"/>
        <v>-5.50131818157023E-3</v>
      </c>
      <c r="W25" s="38" cm="1">
        <f t="array" ref="W25">_xll.DBR($A$6,C25,"Total Source",$E$1,$Y$6,$Y$5&amp;"-YTD","Amount")</f>
        <v>-113653285.76999988</v>
      </c>
      <c r="X25" s="39">
        <f t="shared" si="6"/>
        <v>6358394.1499998122</v>
      </c>
      <c r="Y25" s="41">
        <f t="shared" si="14"/>
        <v>-9.3453225974216483E-3</v>
      </c>
      <c r="Z25" s="35">
        <f t="shared" si="7"/>
        <v>5.5945537402827865E-2</v>
      </c>
      <c r="AA25" s="36" cm="1">
        <f t="array" ref="AA25">_xll.DBR($A$5,C25,$E$1,$AB$6,$AB$5&amp;"-YTD","Amount")</f>
        <v>-56525951.319999926</v>
      </c>
      <c r="AB25" s="35">
        <f t="shared" si="15"/>
        <v>-6.1636211409456052E-3</v>
      </c>
    </row>
    <row r="26" spans="1:28">
      <c r="A26" s="7"/>
      <c r="B26" s="7"/>
      <c r="C26" s="25" t="s">
        <v>28</v>
      </c>
      <c r="D26" s="2" cm="1">
        <f t="array" ref="D26">_xll.DBR($A$5,C26,$E$1,$E$6,$E$5,"Amount")</f>
        <v>1971604.5999999996</v>
      </c>
      <c r="E26" s="5">
        <f t="shared" si="8"/>
        <v>0</v>
      </c>
      <c r="F26" s="2" cm="1">
        <f t="array" ref="F26">_xll.DBR($A$6,C26,"Total Source",$E$1,$H$6,$H$5,"Amount")</f>
        <v>-73501534.421570256</v>
      </c>
      <c r="G26" s="6">
        <f t="shared" si="0"/>
        <v>75473139.02157025</v>
      </c>
      <c r="H26" s="26">
        <f t="shared" si="9"/>
        <v>-4.6037110730948128E-2</v>
      </c>
      <c r="I26" s="27">
        <f t="shared" si="1"/>
        <v>1.0268239923903058</v>
      </c>
      <c r="J26" s="2" cm="1">
        <f t="array" ref="J26">_xll.DBR($A$6,C26,"Total Source",$E$1,$L$6,$L$5,"Amount")</f>
        <v>-70171962.766594499</v>
      </c>
      <c r="K26" s="6">
        <f t="shared" si="2"/>
        <v>72143567.366594493</v>
      </c>
      <c r="L26" s="26">
        <f t="shared" si="10"/>
        <v>-6.9858003030425955E-2</v>
      </c>
      <c r="M26" s="27">
        <f t="shared" si="3"/>
        <v>1.0280967571985684</v>
      </c>
      <c r="N26" s="2" cm="1">
        <f t="array" ref="N26">_xll.DBR($A$5,C26,$E$1,$O$6,$O$5,"Amount")</f>
        <v>-38909700.914999999</v>
      </c>
      <c r="O26" s="5">
        <f t="shared" si="11"/>
        <v>-4.3151895069342805E-2</v>
      </c>
      <c r="P26" s="7"/>
      <c r="Q26" s="38" cm="1">
        <f t="array" ref="Q26">_xll.DBR($A$5,C26,$E$1,$R$6,$R$5&amp;"-YTD","Amount")</f>
        <v>-658992353.52999997</v>
      </c>
      <c r="R26" s="40">
        <f t="shared" si="12"/>
        <v>-5.9180634515594646E-2</v>
      </c>
      <c r="S26" s="38" cm="1">
        <f t="array" ref="S26">_xll.DBR($A$6,C26,"Total Source",$E$1,$U$6,$U$5&amp;"-YTD","Amount")</f>
        <v>-744603489.98018491</v>
      </c>
      <c r="T26" s="39">
        <f t="shared" si="4"/>
        <v>85611136.450184941</v>
      </c>
      <c r="U26" s="41">
        <f t="shared" si="13"/>
        <v>-4.9759194523808961E-2</v>
      </c>
      <c r="V26" s="35">
        <f t="shared" si="5"/>
        <v>0.11497547030361514</v>
      </c>
      <c r="W26" s="38" cm="1">
        <f t="array" ref="W26">_xll.DBR($A$6,C26,"Total Source",$E$1,$Y$6,$Y$5&amp;"-YTD","Amount")</f>
        <v>-733097879.66217589</v>
      </c>
      <c r="X26" s="39">
        <f t="shared" si="6"/>
        <v>74105526.132175922</v>
      </c>
      <c r="Y26" s="41">
        <f t="shared" si="14"/>
        <v>-6.0280141788362093E-2</v>
      </c>
      <c r="Z26" s="35">
        <f t="shared" si="7"/>
        <v>0.10108544600664378</v>
      </c>
      <c r="AA26" s="36" cm="1">
        <f t="array" ref="AA26">_xll.DBR($A$5,C26,$E$1,$AB$6,$AB$5&amp;"-YTD","Amount")</f>
        <v>-433131079.33000016</v>
      </c>
      <c r="AB26" s="35">
        <f t="shared" si="15"/>
        <v>-4.7228853562246965E-2</v>
      </c>
    </row>
    <row r="27" spans="1:28">
      <c r="A27" s="7"/>
      <c r="B27" s="7"/>
      <c r="C27" s="25" t="s">
        <v>29</v>
      </c>
      <c r="D27" s="2" cm="1">
        <f t="array" ref="D27">_xll.DBR($A$5,C27,$E$1,$E$6,$E$5,"Amount")</f>
        <v>0</v>
      </c>
      <c r="E27" s="5">
        <f t="shared" si="8"/>
        <v>0</v>
      </c>
      <c r="F27" s="2" cm="1">
        <f t="array" ref="F27">_xll.DBR($A$6,C27,"Total Source",$E$1,$H$6,$H$5,"Amount")</f>
        <v>0</v>
      </c>
      <c r="G27" s="6">
        <f t="shared" si="0"/>
        <v>0</v>
      </c>
      <c r="H27" s="26">
        <f t="shared" si="9"/>
        <v>0</v>
      </c>
      <c r="I27" s="27">
        <f t="shared" si="1"/>
        <v>0</v>
      </c>
      <c r="J27" s="2" cm="1">
        <f t="array" ref="J27">_xll.DBR($A$6,C27,"Total Source",$E$1,$L$6,$L$5,"Amount")</f>
        <v>0</v>
      </c>
      <c r="K27" s="6">
        <f t="shared" si="2"/>
        <v>0</v>
      </c>
      <c r="L27" s="26">
        <f t="shared" si="10"/>
        <v>0</v>
      </c>
      <c r="M27" s="27">
        <f t="shared" si="3"/>
        <v>0</v>
      </c>
      <c r="N27" s="2" cm="1">
        <f t="array" ref="N27">_xll.DBR($A$5,C27,$E$1,$O$6,$O$5,"Amount")</f>
        <v>0</v>
      </c>
      <c r="O27" s="5">
        <f t="shared" si="11"/>
        <v>0</v>
      </c>
      <c r="P27" s="7"/>
      <c r="Q27" s="38" cm="1">
        <f t="array" ref="Q27">_xll.DBR($A$5,C27,$E$1,$R$6,$R$5&amp;"-YTD","Amount")</f>
        <v>0</v>
      </c>
      <c r="R27" s="40">
        <f t="shared" si="12"/>
        <v>0</v>
      </c>
      <c r="S27" s="38" cm="1">
        <f t="array" ref="S27">_xll.DBR($A$6,C27,"Total Source",$E$1,$U$6,$U$5&amp;"-YTD","Amount")</f>
        <v>0</v>
      </c>
      <c r="T27" s="39">
        <f t="shared" si="4"/>
        <v>0</v>
      </c>
      <c r="U27" s="41">
        <f t="shared" si="13"/>
        <v>0</v>
      </c>
      <c r="V27" s="35">
        <f t="shared" si="5"/>
        <v>0</v>
      </c>
      <c r="W27" s="38" cm="1">
        <f t="array" ref="W27">_xll.DBR($A$6,C27,"Total Source",$E$1,$Y$6,$Y$5&amp;"-YTD","Amount")</f>
        <v>0</v>
      </c>
      <c r="X27" s="39">
        <f t="shared" si="6"/>
        <v>0</v>
      </c>
      <c r="Y27" s="41">
        <f t="shared" si="14"/>
        <v>0</v>
      </c>
      <c r="Z27" s="35">
        <f t="shared" si="7"/>
        <v>0</v>
      </c>
      <c r="AA27" s="36" cm="1">
        <f t="array" ref="AA27">_xll.DBR($A$5,C27,$E$1,$AB$6,$AB$5&amp;"-YTD","Amount")</f>
        <v>0</v>
      </c>
      <c r="AB27" s="35">
        <f t="shared" si="15"/>
        <v>0</v>
      </c>
    </row>
    <row r="28" spans="1:28">
      <c r="A28" s="7"/>
      <c r="B28" s="7"/>
      <c r="C28" s="25" t="s">
        <v>30</v>
      </c>
      <c r="D28" s="2" cm="1">
        <f t="array" ref="D28">_xll.DBR($A$5,C28,$E$1,$E$6,$E$5,"Amount")</f>
        <v>0</v>
      </c>
      <c r="E28" s="5">
        <f t="shared" si="8"/>
        <v>0</v>
      </c>
      <c r="F28" s="2" cm="1">
        <f t="array" ref="F28">_xll.DBR($A$6,C28,"Total Source",$E$1,$H$6,$H$5,"Amount")</f>
        <v>-2281222.2399999993</v>
      </c>
      <c r="G28" s="6">
        <f t="shared" si="0"/>
        <v>2281222.2399999993</v>
      </c>
      <c r="H28" s="26">
        <f t="shared" si="9"/>
        <v>-1.4288256931131681E-3</v>
      </c>
      <c r="I28" s="27">
        <f t="shared" si="1"/>
        <v>1</v>
      </c>
      <c r="J28" s="2" cm="1">
        <f t="array" ref="J28">_xll.DBR($A$6,C28,"Total Source",$E$1,$L$6,$L$5,"Amount")</f>
        <v>-2096339.2399999993</v>
      </c>
      <c r="K28" s="6">
        <f t="shared" si="2"/>
        <v>2096339.2399999993</v>
      </c>
      <c r="L28" s="26">
        <f t="shared" si="10"/>
        <v>-2.0869599083016776E-3</v>
      </c>
      <c r="M28" s="27">
        <f t="shared" si="3"/>
        <v>1</v>
      </c>
      <c r="N28" s="2" cm="1">
        <f t="array" ref="N28">_xll.DBR($A$5,C28,$E$1,$O$6,$O$5,"Amount")</f>
        <v>-1967745.0999999982</v>
      </c>
      <c r="O28" s="5">
        <f t="shared" si="11"/>
        <v>-2.1822817467527533E-3</v>
      </c>
      <c r="P28" s="7"/>
      <c r="Q28" s="38" cm="1">
        <f t="array" ref="Q28">_xll.DBR($A$5,C28,$E$1,$R$6,$R$5&amp;"-YTD","Amount")</f>
        <v>-28391620.61999999</v>
      </c>
      <c r="R28" s="40">
        <f t="shared" si="12"/>
        <v>-2.5497020021813485E-3</v>
      </c>
      <c r="S28" s="38" cm="1">
        <f t="array" ref="S28">_xll.DBR($A$6,C28,"Total Source",$E$1,$U$6,$U$5&amp;"-YTD","Amount")</f>
        <v>-25028324.639999986</v>
      </c>
      <c r="T28" s="39">
        <f t="shared" si="4"/>
        <v>-3363295.9800000042</v>
      </c>
      <c r="U28" s="41">
        <f t="shared" si="13"/>
        <v>-1.6725536357611512E-3</v>
      </c>
      <c r="V28" s="35">
        <f t="shared" si="5"/>
        <v>-0.13437958906066061</v>
      </c>
      <c r="W28" s="38" cm="1">
        <f t="array" ref="W28">_xll.DBR($A$6,C28,"Total Source",$E$1,$Y$6,$Y$5&amp;"-YTD","Amount")</f>
        <v>-28975881.769999925</v>
      </c>
      <c r="X28" s="39">
        <f t="shared" si="6"/>
        <v>584261.14999993518</v>
      </c>
      <c r="Y28" s="41">
        <f t="shared" si="14"/>
        <v>-2.3825880690629027E-3</v>
      </c>
      <c r="Z28" s="35">
        <f t="shared" si="7"/>
        <v>2.0163705616884724E-2</v>
      </c>
      <c r="AA28" s="36" cm="1">
        <f t="array" ref="AA28">_xll.DBR($A$5,C28,$E$1,$AB$6,$AB$5&amp;"-YTD","Amount")</f>
        <v>-19868644.880000003</v>
      </c>
      <c r="AB28" s="35">
        <f t="shared" si="15"/>
        <v>-2.1664880778570652E-3</v>
      </c>
    </row>
    <row r="29" spans="1:28">
      <c r="A29" s="7"/>
      <c r="B29" s="7"/>
      <c r="C29" s="25" t="s">
        <v>31</v>
      </c>
      <c r="D29" s="2" cm="1">
        <f t="array" ref="D29">_xll.DBR($A$5,C29,$E$1,$E$6,$E$5,"Amount")</f>
        <v>0</v>
      </c>
      <c r="E29" s="5">
        <f t="shared" si="8"/>
        <v>0</v>
      </c>
      <c r="F29" s="2" cm="1">
        <f t="array" ref="F29">_xll.DBR($A$6,C29,"Total Source",$E$1,$H$6,$H$5,"Amount")</f>
        <v>-1430938.0950385963</v>
      </c>
      <c r="G29" s="6">
        <f t="shared" si="0"/>
        <v>1430938.0950385963</v>
      </c>
      <c r="H29" s="26">
        <f t="shared" si="9"/>
        <v>-8.9625687475568326E-4</v>
      </c>
      <c r="I29" s="27">
        <f t="shared" si="1"/>
        <v>1</v>
      </c>
      <c r="J29" s="2" cm="1">
        <f t="array" ref="J29">_xll.DBR($A$6,C29,"Total Source",$E$1,$L$6,$L$5,"Amount")</f>
        <v>-1178034.1797300004</v>
      </c>
      <c r="K29" s="6">
        <f t="shared" si="2"/>
        <v>1178034.1797300004</v>
      </c>
      <c r="L29" s="26">
        <f t="shared" si="10"/>
        <v>-1.1727634806404544E-3</v>
      </c>
      <c r="M29" s="27">
        <f t="shared" si="3"/>
        <v>1</v>
      </c>
      <c r="N29" s="2" cm="1">
        <f t="array" ref="N29">_xll.DBR($A$5,C29,$E$1,$O$6,$O$5,"Amount")</f>
        <v>-909514.78000000026</v>
      </c>
      <c r="O29" s="5">
        <f t="shared" si="11"/>
        <v>-1.008676125172843E-3</v>
      </c>
      <c r="P29" s="7"/>
      <c r="Q29" s="38" cm="1">
        <f t="array" ref="Q29">_xll.DBR($A$5,C29,$E$1,$R$6,$R$5&amp;"-YTD","Amount")</f>
        <v>-10762982.060000001</v>
      </c>
      <c r="R29" s="40">
        <f t="shared" si="12"/>
        <v>-9.6656676542418332E-4</v>
      </c>
      <c r="S29" s="38" cm="1">
        <f t="array" ref="S29">_xll.DBR($A$6,C29,"Total Source",$E$1,$U$6,$U$5&amp;"-YTD","Amount")</f>
        <v>-14013227.537895206</v>
      </c>
      <c r="T29" s="39">
        <f t="shared" si="4"/>
        <v>3250245.4778952058</v>
      </c>
      <c r="U29" s="41">
        <f t="shared" si="13"/>
        <v>-9.3645399779563221E-4</v>
      </c>
      <c r="V29" s="35">
        <f t="shared" si="5"/>
        <v>0.23194124758951815</v>
      </c>
      <c r="W29" s="38" cm="1">
        <f t="array" ref="W29">_xll.DBR($A$6,C29,"Total Source",$E$1,$Y$6,$Y$5&amp;"-YTD","Amount")</f>
        <v>-11941016.246500006</v>
      </c>
      <c r="X29" s="39">
        <f t="shared" si="6"/>
        <v>1178034.1865000054</v>
      </c>
      <c r="Y29" s="41">
        <f t="shared" si="14"/>
        <v>-9.8186909607193883E-4</v>
      </c>
      <c r="Z29" s="35">
        <f t="shared" si="7"/>
        <v>9.8654432937841055E-2</v>
      </c>
      <c r="AA29" s="36" cm="1">
        <f t="array" ref="AA29">_xll.DBR($A$5,C29,$E$1,$AB$6,$AB$5&amp;"-YTD","Amount")</f>
        <v>-8153699.4400000013</v>
      </c>
      <c r="AB29" s="35">
        <f t="shared" si="15"/>
        <v>-8.890839175937714E-4</v>
      </c>
    </row>
    <row r="30" spans="1:28">
      <c r="A30" s="7"/>
      <c r="B30" s="7"/>
      <c r="C30" s="25" t="s">
        <v>32</v>
      </c>
      <c r="D30" s="2" cm="1">
        <f t="array" ref="D30">_xll.DBR($A$5,C30,$E$1,$E$6,$E$5,"Amount")</f>
        <v>-168141063.78000018</v>
      </c>
      <c r="E30" s="5">
        <f t="shared" si="8"/>
        <v>0</v>
      </c>
      <c r="F30" s="1" cm="1">
        <f t="array" ref="F30">_xll.DBR($A$6,C30,"Total Source",$E$1,$H$6,$H$5,"Amount")</f>
        <v>-13269641.761461059</v>
      </c>
      <c r="G30" s="6"/>
      <c r="H30" s="26"/>
      <c r="I30" s="27"/>
      <c r="J30" s="2" cm="1">
        <f t="array" ref="J30">_xll.DBR($A$6,C30,"Total Source",$E$1,$L$6,$L$5,"Amount")</f>
        <v>-13467895.320159048</v>
      </c>
      <c r="K30" s="6"/>
      <c r="L30" s="26"/>
      <c r="M30" s="27"/>
      <c r="N30" s="2" cm="1">
        <f t="array" ref="N30">_xll.DBR($A$5,C30,$E$1,$O$6,$O$5,"Amount")</f>
        <v>-18849777.711390004</v>
      </c>
      <c r="O30" s="5"/>
      <c r="P30" s="7"/>
      <c r="Q30" s="38" cm="1">
        <f t="array" ref="Q30">_xll.DBR($A$5,C30,$E$1,$R$6,$R$5&amp;"-YTD","Amount")</f>
        <v>-262137399.02000022</v>
      </c>
      <c r="R30" s="40"/>
      <c r="S30" s="38" cm="1">
        <f t="array" ref="S30">_xll.DBR($A$6,C30,"Total Source",$E$1,$U$6,$U$5&amp;"-YTD","Amount")</f>
        <v>-124847261.29638121</v>
      </c>
      <c r="T30" s="39"/>
      <c r="U30" s="41"/>
      <c r="V30" s="35"/>
      <c r="W30" s="38" cm="1">
        <f t="array" ref="W30">_xll.DBR($A$6,C30,"Total Source",$E$1,$Y$6,$Y$5&amp;"-YTD","Amount")</f>
        <v>-104321575.72241998</v>
      </c>
      <c r="X30" s="39"/>
      <c r="Y30" s="41"/>
      <c r="Z30" s="35"/>
      <c r="AA30" s="36" cm="1">
        <f t="array" ref="AA30">_xll.DBR($A$5,C30,$E$1,$AB$6,$AB$5&amp;"-YTD","Amount")</f>
        <v>-132338581.40738</v>
      </c>
      <c r="AB30" s="35"/>
    </row>
    <row r="31" spans="1:28">
      <c r="A31" s="11"/>
      <c r="B31" s="11"/>
      <c r="C31" s="25" t="s">
        <v>33</v>
      </c>
      <c r="D31" s="2" cm="1">
        <f t="array" ref="D31">_xll.DBR($A$5,C31,$E$1,$E$6,$E$5,"Amount")</f>
        <v>0</v>
      </c>
      <c r="E31" s="5">
        <f t="shared" si="8"/>
        <v>0</v>
      </c>
      <c r="F31" s="2" cm="1">
        <f t="array" ref="F31">_xll.DBR($A$6,C31,"Total Source",$E$1,$H$6,$H$5,"Amount")</f>
        <v>0</v>
      </c>
      <c r="G31" s="6">
        <f t="shared" si="0"/>
        <v>0</v>
      </c>
      <c r="H31" s="26">
        <f t="shared" si="9"/>
        <v>0</v>
      </c>
      <c r="I31" s="27">
        <f t="shared" si="1"/>
        <v>0</v>
      </c>
      <c r="J31" s="2" cm="1">
        <f t="array" ref="J31">_xll.DBR($A$6,C31,"Total Source",$E$1,$L$6,$L$5,"Amount")</f>
        <v>0</v>
      </c>
      <c r="K31" s="6">
        <f t="shared" si="2"/>
        <v>0</v>
      </c>
      <c r="L31" s="26">
        <f t="shared" si="10"/>
        <v>0</v>
      </c>
      <c r="M31" s="27">
        <f t="shared" si="3"/>
        <v>0</v>
      </c>
      <c r="N31" s="2" cm="1">
        <f t="array" ref="N31">_xll.DBR($A$5,C31,$E$1,$O$6,$O$5,"Amount")</f>
        <v>0</v>
      </c>
      <c r="O31" s="5">
        <f t="shared" si="11"/>
        <v>0</v>
      </c>
      <c r="P31" s="7"/>
      <c r="Q31" s="38" cm="1">
        <f t="array" ref="Q31">_xll.DBR($A$5,C31,$E$1,$R$6,$R$5&amp;"-YTD","Amount")</f>
        <v>0</v>
      </c>
      <c r="R31" s="40">
        <f t="shared" si="12"/>
        <v>0</v>
      </c>
      <c r="S31" s="38" cm="1">
        <f t="array" ref="S31">_xll.DBR($A$6,C31,"Total Source",$E$1,$U$6,$U$5&amp;"-YTD","Amount")</f>
        <v>0</v>
      </c>
      <c r="T31" s="39">
        <f t="shared" si="4"/>
        <v>0</v>
      </c>
      <c r="U31" s="41">
        <f t="shared" si="13"/>
        <v>0</v>
      </c>
      <c r="V31" s="35">
        <f t="shared" si="5"/>
        <v>0</v>
      </c>
      <c r="W31" s="38" cm="1">
        <f t="array" ref="W31">_xll.DBR($A$6,C31,"Total Source",$E$1,$Y$6,$Y$5&amp;"-YTD","Amount")</f>
        <v>0</v>
      </c>
      <c r="X31" s="39">
        <f t="shared" si="6"/>
        <v>0</v>
      </c>
      <c r="Y31" s="41">
        <f t="shared" si="14"/>
        <v>0</v>
      </c>
      <c r="Z31" s="35">
        <f t="shared" si="7"/>
        <v>0</v>
      </c>
      <c r="AA31" s="36" cm="1">
        <f t="array" ref="AA31">_xll.DBR($A$5,C31,$E$1,$AB$6,$AB$5&amp;"-YTD","Amount")</f>
        <v>0</v>
      </c>
      <c r="AB31" s="35">
        <f t="shared" si="15"/>
        <v>0</v>
      </c>
    </row>
    <row r="32" spans="1:28">
      <c r="A32" s="11"/>
      <c r="B32" s="11"/>
      <c r="C32" s="25" t="s">
        <v>34</v>
      </c>
      <c r="D32" s="2" cm="1">
        <f t="array" ref="D32">_xll.DBR($A$5,C32,$E$1,$E$6,$E$5,"Amount")</f>
        <v>0</v>
      </c>
      <c r="E32" s="5">
        <f t="shared" si="8"/>
        <v>0</v>
      </c>
      <c r="F32" s="2" cm="1">
        <f t="array" ref="F32">_xll.DBR($A$6,C32,"Total Source",$E$1,$H$6,$H$5,"Amount")</f>
        <v>-9.682710940645687E-3</v>
      </c>
      <c r="G32" s="6">
        <f t="shared" si="0"/>
        <v>9.682710940645687E-3</v>
      </c>
      <c r="H32" s="26">
        <f t="shared" si="9"/>
        <v>-6.064690203521132E-12</v>
      </c>
      <c r="I32" s="27">
        <f t="shared" si="1"/>
        <v>1</v>
      </c>
      <c r="J32" s="2" cm="1">
        <f t="array" ref="J32">_xll.DBR($A$6,C32,"Total Source",$E$1,$L$6,$L$5,"Amount")</f>
        <v>-65397086.380276784</v>
      </c>
      <c r="K32" s="6">
        <f t="shared" si="2"/>
        <v>65397086.380276784</v>
      </c>
      <c r="L32" s="26">
        <f t="shared" si="10"/>
        <v>-6.5104490147014263E-2</v>
      </c>
      <c r="M32" s="27">
        <f t="shared" si="3"/>
        <v>1</v>
      </c>
      <c r="N32" s="2" cm="1">
        <f t="array" ref="N32">_xll.DBR($A$5,C32,$E$1,$O$6,$O$5,"Amount")</f>
        <v>-23955976.144690223</v>
      </c>
      <c r="O32" s="5">
        <f t="shared" si="11"/>
        <v>-2.6567815854910228E-2</v>
      </c>
      <c r="P32" s="7"/>
      <c r="Q32" s="38" cm="1">
        <f t="array" ref="Q32">_xll.DBR($A$5,C32,$E$1,$R$6,$R$5&amp;"-YTD","Amount")</f>
        <v>-560643837.16000021</v>
      </c>
      <c r="R32" s="40">
        <f t="shared" si="12"/>
        <v>-5.034847194001027E-2</v>
      </c>
      <c r="S32" s="38" cm="1">
        <f t="array" ref="S32">_xll.DBR($A$6,C32,"Total Source",$E$1,$U$6,$U$5&amp;"-YTD","Amount")</f>
        <v>-163379339.01468095</v>
      </c>
      <c r="T32" s="39">
        <f t="shared" si="4"/>
        <v>-397264498.14531922</v>
      </c>
      <c r="U32" s="41">
        <f t="shared" si="13"/>
        <v>-1.0918058296260715E-2</v>
      </c>
      <c r="V32" s="35">
        <f t="shared" si="5"/>
        <v>-2.431546733761861</v>
      </c>
      <c r="W32" s="38" cm="1">
        <f t="array" ref="W32">_xll.DBR($A$6,C32,"Total Source",$E$1,$Y$6,$Y$5&amp;"-YTD","Amount")</f>
        <v>-636549050.90915084</v>
      </c>
      <c r="X32" s="39">
        <f t="shared" si="6"/>
        <v>75905213.749150634</v>
      </c>
      <c r="Y32" s="41">
        <f t="shared" si="14"/>
        <v>-5.2341260435418355E-2</v>
      </c>
      <c r="Z32" s="35">
        <f t="shared" si="7"/>
        <v>0.1192448777368202</v>
      </c>
      <c r="AA32" s="36" cm="1">
        <f t="array" ref="AA32">_xll.DBR($A$5,C32,$E$1,$AB$6,$AB$5&amp;"-YTD","Amount")</f>
        <v>-195394040.72469023</v>
      </c>
      <c r="AB32" s="35">
        <f t="shared" si="15"/>
        <v>-2.1305874772590893E-2</v>
      </c>
    </row>
    <row r="33" spans="3:28">
      <c r="C33" s="25" t="s">
        <v>35</v>
      </c>
      <c r="D33" s="2" cm="1">
        <f t="array" ref="D33">_xll.DBR($A$5,C33,$E$1,$E$6,$E$5,"Amount")</f>
        <v>0</v>
      </c>
      <c r="E33" s="5">
        <f t="shared" si="8"/>
        <v>0</v>
      </c>
      <c r="F33" s="2" cm="1">
        <f t="array" ref="F33">_xll.DBR($A$6,C33,"Total Source",$E$1,$H$6,$H$5,"Amount")</f>
        <v>-13265821.360000003</v>
      </c>
      <c r="G33" s="6">
        <f t="shared" si="0"/>
        <v>13265821.360000003</v>
      </c>
      <c r="H33" s="26">
        <f t="shared" si="9"/>
        <v>-8.3089433668757668E-3</v>
      </c>
      <c r="I33" s="27">
        <f t="shared" si="1"/>
        <v>1</v>
      </c>
      <c r="J33" s="2" cm="1">
        <f t="array" ref="J33">_xll.DBR($A$6,C33,"Total Source",$E$1,$L$6,$L$5,"Amount")</f>
        <v>-10430667.298351804</v>
      </c>
      <c r="K33" s="6">
        <f t="shared" si="2"/>
        <v>10430667.298351804</v>
      </c>
      <c r="L33" s="26">
        <f t="shared" si="10"/>
        <v>-1.0383998950710667E-2</v>
      </c>
      <c r="M33" s="27">
        <f t="shared" si="3"/>
        <v>1</v>
      </c>
      <c r="N33" s="2" cm="1">
        <f t="array" ref="N33">_xll.DBR($A$5,C33,$E$1,$O$6,$O$5,"Amount")</f>
        <v>-11507670.988719948</v>
      </c>
      <c r="O33" s="5">
        <f t="shared" si="11"/>
        <v>-1.2762313750048099E-2</v>
      </c>
      <c r="P33" s="7"/>
      <c r="Q33" s="38" cm="1">
        <f t="array" ref="Q33">_xll.DBR($A$5,C33,$E$1,$R$6,$R$5&amp;"-YTD","Amount")</f>
        <v>-124330006.28999996</v>
      </c>
      <c r="R33" s="40">
        <f t="shared" si="12"/>
        <v>-1.1165423425865455E-2</v>
      </c>
      <c r="S33" s="38" cm="1">
        <f t="array" ref="S33">_xll.DBR($A$6,C33,"Total Source",$E$1,$U$6,$U$5&amp;"-YTD","Amount")</f>
        <v>-154246331.38000008</v>
      </c>
      <c r="T33" s="39">
        <f t="shared" si="4"/>
        <v>29916325.090000123</v>
      </c>
      <c r="U33" s="41">
        <f t="shared" si="13"/>
        <v>-1.0307731982193062E-2</v>
      </c>
      <c r="V33" s="35">
        <f t="shared" si="5"/>
        <v>0.19395161507146963</v>
      </c>
      <c r="W33" s="38" cm="1">
        <f t="array" ref="W33">_xll.DBR($A$6,C33,"Total Source",$E$1,$Y$6,$Y$5&amp;"-YTD","Amount")</f>
        <v>-132003377.77597664</v>
      </c>
      <c r="X33" s="39">
        <f t="shared" si="6"/>
        <v>7673371.4859766811</v>
      </c>
      <c r="Y33" s="41">
        <f t="shared" si="14"/>
        <v>-1.0854188164540052E-2</v>
      </c>
      <c r="Z33" s="35">
        <f t="shared" si="7"/>
        <v>5.8130114662665558E-2</v>
      </c>
      <c r="AA33" s="36" cm="1">
        <f t="array" ref="AA33">_xll.DBR($A$5,C33,$E$1,$AB$6,$AB$5&amp;"-YTD","Amount")</f>
        <v>-107905509.88539013</v>
      </c>
      <c r="AB33" s="35">
        <f t="shared" si="15"/>
        <v>-1.1766076756301931E-2</v>
      </c>
    </row>
    <row r="34" spans="3:28">
      <c r="C34" s="25" t="s">
        <v>36</v>
      </c>
      <c r="D34" s="2" cm="1">
        <f t="array" ref="D34">_xll.DBR($A$5,C34,$E$1,$E$6,$E$5,"Amount")</f>
        <v>0</v>
      </c>
      <c r="E34" s="5">
        <f t="shared" si="8"/>
        <v>0</v>
      </c>
      <c r="F34" s="2" cm="1">
        <f t="array" ref="F34">_xll.DBR($A$6,C34,"Total Source",$E$1,$H$6,$H$5,"Amount")</f>
        <v>-975054.11</v>
      </c>
      <c r="G34" s="6">
        <f t="shared" si="0"/>
        <v>975054.11</v>
      </c>
      <c r="H34" s="26">
        <f t="shared" si="9"/>
        <v>-6.1071750928729928E-4</v>
      </c>
      <c r="I34" s="27">
        <f t="shared" si="1"/>
        <v>1</v>
      </c>
      <c r="J34" s="2" cm="1">
        <f t="array" ref="J34">_xll.DBR($A$6,C34,"Total Source",$E$1,$L$6,$L$5,"Amount")</f>
        <v>-842256.1100000001</v>
      </c>
      <c r="K34" s="6">
        <f t="shared" si="2"/>
        <v>842256.1100000001</v>
      </c>
      <c r="L34" s="26">
        <f t="shared" si="10"/>
        <v>-8.3848773163838145E-4</v>
      </c>
      <c r="M34" s="27">
        <f t="shared" si="3"/>
        <v>1</v>
      </c>
      <c r="N34" s="2" cm="1">
        <f t="array" ref="N34">_xll.DBR($A$5,C34,$E$1,$O$6,$O$5,"Amount")</f>
        <v>-668933.69000000099</v>
      </c>
      <c r="O34" s="5">
        <f t="shared" si="11"/>
        <v>-7.4186528604490909E-4</v>
      </c>
      <c r="P34" s="7"/>
      <c r="Q34" s="38" cm="1">
        <f t="array" ref="Q34">_xll.DBR($A$5,C34,$E$1,$R$6,$R$5&amp;"-YTD","Amount")</f>
        <v>-7045582.4499999955</v>
      </c>
      <c r="R34" s="40">
        <f t="shared" si="12"/>
        <v>-6.3272667382164975E-4</v>
      </c>
      <c r="S34" s="38" cm="1">
        <f t="array" ref="S34">_xll.DBR($A$6,C34,"Total Source",$E$1,$U$6,$U$5&amp;"-YTD","Amount")</f>
        <v>-10699395.209999999</v>
      </c>
      <c r="T34" s="39">
        <f t="shared" si="4"/>
        <v>3653812.7600000035</v>
      </c>
      <c r="U34" s="41">
        <f t="shared" si="13"/>
        <v>-7.1500240692622542E-4</v>
      </c>
      <c r="V34" s="35">
        <f t="shared" si="5"/>
        <v>0.34149713028499334</v>
      </c>
      <c r="W34" s="38" cm="1">
        <f t="array" ref="W34">_xll.DBR($A$6,C34,"Total Source",$E$1,$Y$6,$Y$5&amp;"-YTD","Amount")</f>
        <v>-7788848.4999999991</v>
      </c>
      <c r="X34" s="39">
        <f t="shared" si="6"/>
        <v>743266.05000000354</v>
      </c>
      <c r="Y34" s="41">
        <f t="shared" si="14"/>
        <v>-6.4045048413512119E-4</v>
      </c>
      <c r="Z34" s="35">
        <f t="shared" si="7"/>
        <v>9.5426949182540091E-2</v>
      </c>
      <c r="AA34" s="36" cm="1">
        <f t="array" ref="AA34">_xll.DBR($A$5,C34,$E$1,$AB$6,$AB$5&amp;"-YTD","Amount")</f>
        <v>-7194455.6100000031</v>
      </c>
      <c r="AB34" s="35">
        <f t="shared" si="15"/>
        <v>-7.8448743736049314E-4</v>
      </c>
    </row>
    <row r="35" spans="3:28">
      <c r="C35" s="25" t="s">
        <v>37</v>
      </c>
      <c r="D35" s="2" cm="1">
        <f t="array" ref="D35">_xll.DBR($A$5,C35,$E$1,$E$6,$E$5,"Amount")</f>
        <v>0</v>
      </c>
      <c r="E35" s="5">
        <f t="shared" si="8"/>
        <v>0</v>
      </c>
      <c r="F35" s="2" cm="1">
        <f t="array" ref="F35">_xll.DBR($A$6,C35,"Total Source",$E$1,$H$6,$H$5,"Amount")</f>
        <v>-344635.91333000024</v>
      </c>
      <c r="G35" s="6">
        <f t="shared" si="0"/>
        <v>344635.91333000024</v>
      </c>
      <c r="H35" s="26">
        <f t="shared" si="9"/>
        <v>-2.1586000657937976E-4</v>
      </c>
      <c r="I35" s="27">
        <f t="shared" si="1"/>
        <v>1</v>
      </c>
      <c r="J35" s="2" cm="1">
        <f t="array" ref="J35">_xll.DBR($A$6,C35,"Total Source",$E$1,$L$6,$L$5,"Amount")</f>
        <v>-301635.58000000013</v>
      </c>
      <c r="K35" s="6">
        <f t="shared" si="2"/>
        <v>301635.58000000013</v>
      </c>
      <c r="L35" s="26">
        <f t="shared" si="10"/>
        <v>-3.002860178190071E-4</v>
      </c>
      <c r="M35" s="27">
        <f t="shared" si="3"/>
        <v>1</v>
      </c>
      <c r="N35" s="2" cm="1">
        <f t="array" ref="N35">_xll.DBR($A$5,C35,$E$1,$O$6,$O$5,"Amount")</f>
        <v>-352239.45148000028</v>
      </c>
      <c r="O35" s="5">
        <f t="shared" si="11"/>
        <v>-3.9064293716244413E-4</v>
      </c>
      <c r="P35" s="7"/>
      <c r="Q35" s="38" cm="1">
        <f t="array" ref="Q35">_xll.DBR($A$5,C35,$E$1,$R$6,$R$5&amp;"-YTD","Amount")</f>
        <v>-3329846.4999999991</v>
      </c>
      <c r="R35" s="40">
        <f t="shared" si="12"/>
        <v>-2.9903598676666725E-4</v>
      </c>
      <c r="S35" s="38" cm="1">
        <f t="array" ref="S35">_xll.DBR($A$6,C35,"Total Source",$E$1,$U$6,$U$5&amp;"-YTD","Amount")</f>
        <v>-3785456.1408736571</v>
      </c>
      <c r="T35" s="39">
        <f t="shared" si="4"/>
        <v>455609.64087365801</v>
      </c>
      <c r="U35" s="41">
        <f t="shared" si="13"/>
        <v>-2.5296852755832781E-4</v>
      </c>
      <c r="V35" s="35">
        <f t="shared" si="5"/>
        <v>0.12035792356809778</v>
      </c>
      <c r="W35" s="38" cm="1">
        <f t="array" ref="W35">_xll.DBR($A$6,C35,"Total Source",$E$1,$Y$6,$Y$5&amp;"-YTD","Amount")</f>
        <v>-3735253.8899999992</v>
      </c>
      <c r="X35" s="39">
        <f t="shared" si="6"/>
        <v>405407.39000000013</v>
      </c>
      <c r="Y35" s="41">
        <f t="shared" si="14"/>
        <v>-3.0713720548269675E-4</v>
      </c>
      <c r="Z35" s="35">
        <f t="shared" si="7"/>
        <v>0.10853543077362278</v>
      </c>
      <c r="AA35" s="36" cm="1">
        <f t="array" ref="AA35">_xll.DBR($A$5,C35,$E$1,$AB$6,$AB$5&amp;"-YTD","Amount")</f>
        <v>-2429961.9714800008</v>
      </c>
      <c r="AB35" s="35">
        <f t="shared" si="15"/>
        <v>-2.6496440359436688E-4</v>
      </c>
    </row>
    <row r="36" spans="3:28">
      <c r="C36" s="25" t="s">
        <v>38</v>
      </c>
      <c r="D36" s="2" cm="1">
        <f t="array" ref="D36">_xll.DBR($A$5,C36,$E$1,$E$6,$E$5,"Amount")</f>
        <v>0</v>
      </c>
      <c r="E36" s="5">
        <f t="shared" si="8"/>
        <v>0</v>
      </c>
      <c r="F36" s="2" cm="1">
        <f t="array" ref="F36">_xll.DBR($A$6,C36,"Total Source",$E$1,$H$6,$H$5,"Amount")</f>
        <v>-174185.24852749999</v>
      </c>
      <c r="G36" s="6">
        <f t="shared" si="0"/>
        <v>174185.24852749999</v>
      </c>
      <c r="H36" s="26">
        <f t="shared" si="9"/>
        <v>-1.0909956693101268E-4</v>
      </c>
      <c r="I36" s="27">
        <f t="shared" si="1"/>
        <v>1</v>
      </c>
      <c r="J36" s="2" cm="1">
        <f t="array" ref="J36">_xll.DBR($A$6,C36,"Total Source",$E$1,$L$6,$L$5,"Amount")</f>
        <v>-174185.24852749999</v>
      </c>
      <c r="K36" s="6">
        <f t="shared" si="2"/>
        <v>174185.24852749999</v>
      </c>
      <c r="L36" s="26">
        <f t="shared" si="10"/>
        <v>-1.7340591797273061E-4</v>
      </c>
      <c r="M36" s="27">
        <f t="shared" si="3"/>
        <v>1</v>
      </c>
      <c r="N36" s="2" cm="1">
        <f t="array" ref="N36">_xll.DBR($A$5,C36,$E$1,$O$6,$O$5,"Amount")</f>
        <v>-420229.32000000024</v>
      </c>
      <c r="O36" s="5">
        <f t="shared" si="11"/>
        <v>-4.6604551295100318E-4</v>
      </c>
      <c r="P36" s="7"/>
      <c r="Q36" s="38" cm="1">
        <f t="array" ref="Q36">_xll.DBR($A$5,C36,$E$1,$R$6,$R$5&amp;"-YTD","Amount")</f>
        <v>-3463101.5</v>
      </c>
      <c r="R36" s="40">
        <f t="shared" si="12"/>
        <v>-3.1100291689890983E-4</v>
      </c>
      <c r="S36" s="38" cm="1">
        <f t="array" ref="S36">_xll.DBR($A$6,C36,"Total Source",$E$1,$U$6,$U$5&amp;"-YTD","Amount")</f>
        <v>-2535041.9874485168</v>
      </c>
      <c r="T36" s="39">
        <f t="shared" si="4"/>
        <v>-928059.51255148323</v>
      </c>
      <c r="U36" s="41">
        <f t="shared" si="13"/>
        <v>-1.6940781110605707E-4</v>
      </c>
      <c r="V36" s="35">
        <f t="shared" si="5"/>
        <v>-0.3660923634190224</v>
      </c>
      <c r="W36" s="38" cm="1">
        <f t="array" ref="W36">_xll.DBR($A$6,C36,"Total Source",$E$1,$Y$6,$Y$5&amp;"-YTD","Amount")</f>
        <v>-3607968.2560641998</v>
      </c>
      <c r="X36" s="39">
        <f t="shared" si="6"/>
        <v>144866.75606419984</v>
      </c>
      <c r="Y36" s="41">
        <f t="shared" si="14"/>
        <v>-2.9667094132598235E-4</v>
      </c>
      <c r="Z36" s="35">
        <f t="shared" si="7"/>
        <v>4.0151893193824735E-2</v>
      </c>
      <c r="AA36" s="36" cm="1">
        <f t="array" ref="AA36">_xll.DBR($A$5,C36,$E$1,$AB$6,$AB$5&amp;"-YTD","Amount")</f>
        <v>-2388083.64</v>
      </c>
      <c r="AB36" s="35">
        <f t="shared" si="15"/>
        <v>-2.6039796705982007E-4</v>
      </c>
    </row>
    <row r="37" spans="3:28">
      <c r="C37" s="25" t="s">
        <v>39</v>
      </c>
      <c r="D37" s="2" cm="1">
        <f t="array" ref="D37">_xll.DBR($A$5,C37,$E$1,$E$6,$E$5,"Amount")</f>
        <v>0</v>
      </c>
      <c r="E37" s="5">
        <f t="shared" si="8"/>
        <v>0</v>
      </c>
      <c r="F37" s="2" cm="1">
        <f t="array" ref="F37">_xll.DBR($A$6,C37,"Total Source",$E$1,$H$6,$H$5,"Amount")</f>
        <v>-5619731.7689552698</v>
      </c>
      <c r="G37" s="6">
        <f t="shared" si="0"/>
        <v>5619731.7689552698</v>
      </c>
      <c r="H37" s="26">
        <f t="shared" si="9"/>
        <v>-3.5198750034488554E-3</v>
      </c>
      <c r="I37" s="27">
        <f t="shared" si="1"/>
        <v>1</v>
      </c>
      <c r="J37" s="2" cm="1">
        <f t="array" ref="J37">_xll.DBR($A$6,C37,"Total Source",$E$1,$L$6,$L$5,"Amount")</f>
        <v>-4994150.6800000332</v>
      </c>
      <c r="K37" s="6">
        <f t="shared" si="2"/>
        <v>4994150.6800000332</v>
      </c>
      <c r="L37" s="26">
        <f t="shared" si="10"/>
        <v>-4.9718061114849112E-3</v>
      </c>
      <c r="M37" s="27">
        <f t="shared" si="3"/>
        <v>1</v>
      </c>
      <c r="N37" s="2" cm="1">
        <f t="array" ref="N37">_xll.DBR($A$5,C37,$E$1,$O$6,$O$5,"Amount")</f>
        <v>-3492549.3099999917</v>
      </c>
      <c r="O37" s="5">
        <f t="shared" si="11"/>
        <v>-3.8733302442714311E-3</v>
      </c>
      <c r="P37" s="7"/>
      <c r="Q37" s="38" cm="1">
        <f t="array" ref="Q37">_xll.DBR($A$5,C37,$E$1,$R$6,$R$5&amp;"-YTD","Amount")</f>
        <v>-45393788.420000032</v>
      </c>
      <c r="R37" s="40">
        <f t="shared" si="12"/>
        <v>-4.0765771975531081E-3</v>
      </c>
      <c r="S37" s="38" cm="1">
        <f t="array" ref="S37">_xll.DBR($A$6,C37,"Total Source",$E$1,$U$6,$U$5&amp;"-YTD","Amount")</f>
        <v>-59124900.855977878</v>
      </c>
      <c r="T37" s="39">
        <f t="shared" si="4"/>
        <v>13731112.435977846</v>
      </c>
      <c r="U37" s="41">
        <f t="shared" si="13"/>
        <v>-3.9511061692335259E-3</v>
      </c>
      <c r="V37" s="35">
        <f t="shared" si="5"/>
        <v>0.2322390775660734</v>
      </c>
      <c r="W37" s="38" cm="1">
        <f t="array" ref="W37">_xll.DBR($A$6,C37,"Total Source",$E$1,$Y$6,$Y$5&amp;"-YTD","Amount")</f>
        <v>-51112312.170000076</v>
      </c>
      <c r="X37" s="39">
        <f t="shared" si="6"/>
        <v>5718523.7500000447</v>
      </c>
      <c r="Y37" s="41">
        <f t="shared" si="14"/>
        <v>-4.2027913464412611E-3</v>
      </c>
      <c r="Z37" s="35">
        <f t="shared" si="7"/>
        <v>0.11188153122441763</v>
      </c>
      <c r="AA37" s="36" cm="1">
        <f t="array" ref="AA37">_xll.DBR($A$5,C37,$E$1,$AB$6,$AB$5&amp;"-YTD","Amount")</f>
        <v>-30709327.389999926</v>
      </c>
      <c r="AB37" s="35">
        <f t="shared" si="15"/>
        <v>-3.3485621224432619E-3</v>
      </c>
    </row>
    <row r="38" spans="3:28">
      <c r="C38" s="25" t="s">
        <v>40</v>
      </c>
      <c r="D38" s="2" cm="1">
        <f t="array" ref="D38">_xll.DBR($A$5,C38,$E$1,$E$6,$E$5,"Amount")</f>
        <v>0</v>
      </c>
      <c r="E38" s="5">
        <f t="shared" si="8"/>
        <v>0</v>
      </c>
      <c r="F38" s="2" cm="1">
        <f t="array" ref="F38">_xll.DBR($A$6,C38,"Total Source",$E$1,$H$6,$H$5,"Amount")</f>
        <v>-4297166.4478186425</v>
      </c>
      <c r="G38" s="6">
        <f t="shared" si="0"/>
        <v>4297166.4478186425</v>
      </c>
      <c r="H38" s="26">
        <f t="shared" si="9"/>
        <v>-2.6914965673082007E-3</v>
      </c>
      <c r="I38" s="27">
        <f t="shared" si="1"/>
        <v>1</v>
      </c>
      <c r="J38" s="2" cm="1">
        <f t="array" ref="J38">_xll.DBR($A$6,C38,"Total Source",$E$1,$L$6,$L$5,"Amount")</f>
        <v>-3513736.5200000009</v>
      </c>
      <c r="K38" s="6">
        <f t="shared" si="2"/>
        <v>3513736.5200000009</v>
      </c>
      <c r="L38" s="26">
        <f t="shared" si="10"/>
        <v>-3.4980155433122838E-3</v>
      </c>
      <c r="M38" s="27">
        <f t="shared" si="3"/>
        <v>1</v>
      </c>
      <c r="N38" s="2" cm="1">
        <f t="array" ref="N38">_xll.DBR($A$5,C38,$E$1,$O$6,$O$5,"Amount")</f>
        <v>-4433565.24</v>
      </c>
      <c r="O38" s="5">
        <f t="shared" si="11"/>
        <v>-4.9169419841469802E-3</v>
      </c>
      <c r="P38" s="7"/>
      <c r="Q38" s="38" cm="1">
        <f t="array" ref="Q38">_xll.DBR($A$5,C38,$E$1,$R$6,$R$5&amp;"-YTD","Amount")</f>
        <v>-38382698.57</v>
      </c>
      <c r="R38" s="40">
        <f t="shared" si="12"/>
        <v>-3.4469481225778728E-3</v>
      </c>
      <c r="S38" s="38" cm="1">
        <f t="array" ref="S38">_xll.DBR($A$6,C38,"Total Source",$E$1,$U$6,$U$5&amp;"-YTD","Amount")</f>
        <v>-45356864.034597538</v>
      </c>
      <c r="T38" s="39">
        <f t="shared" si="4"/>
        <v>6974165.4645975381</v>
      </c>
      <c r="U38" s="41">
        <f t="shared" si="13"/>
        <v>-3.0310373921931979E-3</v>
      </c>
      <c r="V38" s="35">
        <f t="shared" si="5"/>
        <v>0.15376207357011606</v>
      </c>
      <c r="W38" s="38" cm="1">
        <f t="array" ref="W38">_xll.DBR($A$6,C38,"Total Source",$E$1,$Y$6,$Y$5&amp;"-YTD","Amount")</f>
        <v>-41684799.770000003</v>
      </c>
      <c r="X38" s="39">
        <f t="shared" si="6"/>
        <v>3302101.200000003</v>
      </c>
      <c r="Y38" s="41">
        <f t="shared" si="14"/>
        <v>-3.4275991109304657E-3</v>
      </c>
      <c r="Z38" s="35">
        <f t="shared" si="7"/>
        <v>7.9215954453893803E-2</v>
      </c>
      <c r="AA38" s="36" cm="1">
        <f t="array" ref="AA38">_xll.DBR($A$5,C38,$E$1,$AB$6,$AB$5&amp;"-YTD","Amount")</f>
        <v>-29519673.109999999</v>
      </c>
      <c r="AB38" s="35">
        <f t="shared" si="15"/>
        <v>-3.2188415587129254E-3</v>
      </c>
    </row>
    <row r="39" spans="3:28">
      <c r="C39" s="25" t="s">
        <v>41</v>
      </c>
      <c r="D39" s="2" cm="1">
        <f t="array" ref="D39">_xll.DBR($A$5,C39,$E$1,$E$6,$E$5,"Amount")</f>
        <v>-21018.63999999997</v>
      </c>
      <c r="E39" s="5">
        <f t="shared" si="8"/>
        <v>0</v>
      </c>
      <c r="F39" s="2" cm="1">
        <f t="array" ref="F39">_xll.DBR($A$6,C39,"Total Source",$E$1,$H$6,$H$5,"Amount")</f>
        <v>-1874357.7326584281</v>
      </c>
      <c r="G39" s="6">
        <f t="shared" si="0"/>
        <v>1853339.0926584282</v>
      </c>
      <c r="H39" s="26">
        <f t="shared" si="9"/>
        <v>-1.173989293786521E-3</v>
      </c>
      <c r="I39" s="27">
        <f t="shared" si="1"/>
        <v>0.98878621746864248</v>
      </c>
      <c r="J39" s="2" cm="1">
        <f t="array" ref="J39">_xll.DBR($A$6,C39,"Total Source",$E$1,$L$6,$L$5,"Amount")</f>
        <v>-1416721.1885245899</v>
      </c>
      <c r="K39" s="6">
        <f t="shared" si="2"/>
        <v>1395702.54852459</v>
      </c>
      <c r="L39" s="26">
        <f t="shared" si="10"/>
        <v>-1.410382568468414E-3</v>
      </c>
      <c r="M39" s="27">
        <f t="shared" si="3"/>
        <v>0.9851638839241974</v>
      </c>
      <c r="N39" s="2" cm="1">
        <f t="array" ref="N39">_xll.DBR($A$5,C39,$E$1,$O$6,$O$5,"Amount")</f>
        <v>-930520.52999999991</v>
      </c>
      <c r="O39" s="5">
        <f t="shared" si="11"/>
        <v>-1.031972061624089E-3</v>
      </c>
      <c r="P39" s="7"/>
      <c r="Q39" s="38" cm="1">
        <f t="array" ref="Q39">_xll.DBR($A$5,C39,$E$1,$R$6,$R$5&amp;"-YTD","Amount")</f>
        <v>-15875457.270000001</v>
      </c>
      <c r="R39" s="40">
        <f t="shared" si="12"/>
        <v>-1.425691253367539E-3</v>
      </c>
      <c r="S39" s="38" cm="1">
        <f t="array" ref="S39">_xll.DBR($A$6,C39,"Total Source",$E$1,$U$6,$U$5&amp;"-YTD","Amount")</f>
        <v>-20803999.959835038</v>
      </c>
      <c r="T39" s="39">
        <f t="shared" si="4"/>
        <v>4928542.6898350362</v>
      </c>
      <c r="U39" s="41">
        <f t="shared" si="13"/>
        <v>-1.3902570895850805E-3</v>
      </c>
      <c r="V39" s="35">
        <f t="shared" si="5"/>
        <v>0.2369036098514834</v>
      </c>
      <c r="W39" s="38" cm="1">
        <f t="array" ref="W39">_xll.DBR($A$6,C39,"Total Source",$E$1,$Y$6,$Y$5&amp;"-YTD","Amount")</f>
        <v>-17236682.39364754</v>
      </c>
      <c r="X39" s="39">
        <f t="shared" si="6"/>
        <v>1361225.1236475389</v>
      </c>
      <c r="Y39" s="41">
        <f t="shared" si="14"/>
        <v>-1.4173136868556228E-3</v>
      </c>
      <c r="Z39" s="35">
        <f t="shared" si="7"/>
        <v>7.8972570971616265E-2</v>
      </c>
      <c r="AA39" s="36" cm="1">
        <f t="array" ref="AA39">_xll.DBR($A$5,C39,$E$1,$AB$6,$AB$5&amp;"-YTD","Amount")</f>
        <v>-9802867.3199999966</v>
      </c>
      <c r="AB39" s="35">
        <f t="shared" si="15"/>
        <v>-1.068910099599839E-3</v>
      </c>
    </row>
    <row r="40" spans="3:28">
      <c r="C40" s="25" t="s">
        <v>42</v>
      </c>
      <c r="D40" s="2" cm="1">
        <f t="array" ref="D40">_xll.DBR($A$5,C40,$E$1,$E$6,$E$5,"Amount")</f>
        <v>-6.9999983679736033E-5</v>
      </c>
      <c r="E40" s="5">
        <f t="shared" si="8"/>
        <v>0</v>
      </c>
      <c r="F40" s="2" cm="1">
        <f t="array" ref="F40">_xll.DBR($A$6,C40,"Total Source",$E$1,$H$6,$H$5,"Amount")</f>
        <v>-4039407.9412000016</v>
      </c>
      <c r="G40" s="6">
        <f t="shared" si="0"/>
        <v>4039407.9411300016</v>
      </c>
      <c r="H40" s="26">
        <f t="shared" si="9"/>
        <v>-2.5300515443650632E-3</v>
      </c>
      <c r="I40" s="27">
        <f t="shared" si="1"/>
        <v>0.99999999998267075</v>
      </c>
      <c r="J40" s="2" cm="1">
        <f t="array" ref="J40">_xll.DBR($A$6,C40,"Total Source",$E$1,$L$6,$L$5,"Amount")</f>
        <v>-2424671.780400001</v>
      </c>
      <c r="K40" s="6">
        <f t="shared" si="2"/>
        <v>2424671.7803300009</v>
      </c>
      <c r="L40" s="26">
        <f t="shared" si="10"/>
        <v>-2.4138234403727771E-3</v>
      </c>
      <c r="M40" s="27">
        <f t="shared" si="3"/>
        <v>0.99999999997113009</v>
      </c>
      <c r="N40" s="2" cm="1">
        <f t="array" ref="N40">_xll.DBR($A$5,C40,$E$1,$O$6,$O$5,"Amount")</f>
        <v>-2300979.189870019</v>
      </c>
      <c r="O40" s="5">
        <f t="shared" si="11"/>
        <v>-2.5518472314891216E-3</v>
      </c>
      <c r="P40" s="7"/>
      <c r="Q40" s="38" cm="1">
        <f t="array" ref="Q40">_xll.DBR($A$5,C40,$E$1,$R$6,$R$5&amp;"-YTD","Amount")</f>
        <v>-30644394.380000003</v>
      </c>
      <c r="R40" s="40">
        <f t="shared" si="12"/>
        <v>-2.7520117555839933E-3</v>
      </c>
      <c r="S40" s="38" cm="1">
        <f t="array" ref="S40">_xll.DBR($A$6,C40,"Total Source",$E$1,$U$6,$U$5&amp;"-YTD","Amount")</f>
        <v>-45184134.020597465</v>
      </c>
      <c r="T40" s="39">
        <f t="shared" si="4"/>
        <v>14539739.640597463</v>
      </c>
      <c r="U40" s="41">
        <f t="shared" si="13"/>
        <v>-3.0194944616504485E-3</v>
      </c>
      <c r="V40" s="35">
        <f t="shared" si="5"/>
        <v>0.32178860911596607</v>
      </c>
      <c r="W40" s="38" cm="1">
        <f t="array" ref="W40">_xll.DBR($A$6,C40,"Total Source",$E$1,$Y$6,$Y$5&amp;"-YTD","Amount")</f>
        <v>-35443541.163160004</v>
      </c>
      <c r="X40" s="39">
        <f t="shared" si="6"/>
        <v>4799146.783160001</v>
      </c>
      <c r="Y40" s="41">
        <f t="shared" si="14"/>
        <v>-2.9144016727772944E-3</v>
      </c>
      <c r="Z40" s="35">
        <f t="shared" si="7"/>
        <v>0.1354025762004907</v>
      </c>
      <c r="AA40" s="36" cm="1">
        <f t="array" ref="AA40">_xll.DBR($A$5,C40,$E$1,$AB$6,$AB$5&amp;"-YTD","Amount")</f>
        <v>-23892033.439989977</v>
      </c>
      <c r="AB40" s="35">
        <f t="shared" si="15"/>
        <v>-2.6052006020604161E-3</v>
      </c>
    </row>
    <row r="41" spans="3:28">
      <c r="C41" s="25" t="s">
        <v>43</v>
      </c>
      <c r="D41" s="2" cm="1">
        <f t="array" ref="D41">_xll.DBR($A$5,C41,$E$1,$E$6,$E$5,"Amount")</f>
        <v>0</v>
      </c>
      <c r="E41" s="5">
        <f t="shared" si="8"/>
        <v>0</v>
      </c>
      <c r="F41" s="2" cm="1">
        <f t="array" ref="F41">_xll.DBR($A$6,C41,"Total Source",$E$1,$H$6,$H$5,"Amount")</f>
        <v>-2856551</v>
      </c>
      <c r="G41" s="6">
        <f t="shared" si="0"/>
        <v>2856551</v>
      </c>
      <c r="H41" s="26">
        <f t="shared" si="9"/>
        <v>-1.789178358390945E-3</v>
      </c>
      <c r="I41" s="27">
        <f t="shared" si="1"/>
        <v>1</v>
      </c>
      <c r="J41" s="2" cm="1">
        <f t="array" ref="J41">_xll.DBR($A$6,C41,"Total Source",$E$1,$L$6,$L$5,"Amount")</f>
        <v>-2888684.92</v>
      </c>
      <c r="K41" s="6">
        <f t="shared" si="2"/>
        <v>2888684.92</v>
      </c>
      <c r="L41" s="26">
        <f t="shared" si="10"/>
        <v>-2.8757605165830131E-3</v>
      </c>
      <c r="M41" s="27">
        <f t="shared" si="3"/>
        <v>1</v>
      </c>
      <c r="N41" s="2" cm="1">
        <f t="array" ref="N41">_xll.DBR($A$5,C41,$E$1,$O$6,$O$5,"Amount")</f>
        <v>-1580879.6</v>
      </c>
      <c r="O41" s="5">
        <f t="shared" si="11"/>
        <v>-1.7532375991655611E-3</v>
      </c>
      <c r="P41" s="7"/>
      <c r="Q41" s="38" cm="1">
        <f t="array" ref="Q41">_xll.DBR($A$5,C41,$E$1,$R$6,$R$5&amp;"-YTD","Amount")</f>
        <v>-21693817.109999999</v>
      </c>
      <c r="R41" s="40">
        <f t="shared" si="12"/>
        <v>-1.9482075243481827E-3</v>
      </c>
      <c r="S41" s="38" cm="1">
        <f t="array" ref="S41">_xll.DBR($A$6,C41,"Total Source",$E$1,$U$6,$U$5&amp;"-YTD","Amount")</f>
        <v>-26898712</v>
      </c>
      <c r="T41" s="39">
        <f t="shared" si="4"/>
        <v>5204894.8900000006</v>
      </c>
      <c r="U41" s="41">
        <f t="shared" si="13"/>
        <v>-1.797544949572467E-3</v>
      </c>
      <c r="V41" s="35">
        <f t="shared" si="5"/>
        <v>0.19349978132781973</v>
      </c>
      <c r="W41" s="38" cm="1">
        <f t="array" ref="W41">_xll.DBR($A$6,C41,"Total Source",$E$1,$Y$6,$Y$5&amp;"-YTD","Amount")</f>
        <v>-25092442.450000003</v>
      </c>
      <c r="X41" s="39">
        <f t="shared" si="6"/>
        <v>3398625.3400000036</v>
      </c>
      <c r="Y41" s="41">
        <f t="shared" si="14"/>
        <v>-2.0632660803757024E-3</v>
      </c>
      <c r="Z41" s="35">
        <f t="shared" si="7"/>
        <v>0.1354441819194051</v>
      </c>
      <c r="AA41" s="36" cm="1">
        <f t="array" ref="AA41">_xll.DBR($A$5,C41,$E$1,$AB$6,$AB$5&amp;"-YTD","Amount")</f>
        <v>-14483008.550000001</v>
      </c>
      <c r="AB41" s="35">
        <f t="shared" si="15"/>
        <v>-1.5792352998699798E-3</v>
      </c>
    </row>
    <row r="42" spans="3:28">
      <c r="C42" s="25" t="s">
        <v>44</v>
      </c>
      <c r="D42" s="2" cm="1">
        <f t="array" ref="D42">_xll.DBR($A$5,C42,$E$1,$E$6,$E$5,"Amount")</f>
        <v>0</v>
      </c>
      <c r="E42" s="5">
        <f t="shared" si="8"/>
        <v>0</v>
      </c>
      <c r="F42" s="2" cm="1">
        <f t="array" ref="F42">_xll.DBR($A$6,C42,"Total Source",$E$1,$H$6,$H$5,"Amount")</f>
        <v>-1592354.0096533333</v>
      </c>
      <c r="G42" s="6">
        <f t="shared" si="0"/>
        <v>1592354.0096533333</v>
      </c>
      <c r="H42" s="26">
        <f t="shared" si="9"/>
        <v>-9.9735846934600157E-4</v>
      </c>
      <c r="I42" s="27">
        <f t="shared" si="1"/>
        <v>1</v>
      </c>
      <c r="J42" s="2" cm="1">
        <f t="array" ref="J42">_xll.DBR($A$6,C42,"Total Source",$E$1,$L$6,$L$5,"Amount")</f>
        <v>-1361644.0738666668</v>
      </c>
      <c r="K42" s="6">
        <f t="shared" si="2"/>
        <v>1361644.0738666668</v>
      </c>
      <c r="L42" s="26">
        <f t="shared" si="10"/>
        <v>-1.3555518769644854E-3</v>
      </c>
      <c r="M42" s="27">
        <f t="shared" si="3"/>
        <v>1</v>
      </c>
      <c r="N42" s="2" cm="1">
        <f t="array" ref="N42">_xll.DBR($A$5,C42,$E$1,$O$6,$O$5,"Amount")</f>
        <v>-1350474.22</v>
      </c>
      <c r="O42" s="5">
        <f t="shared" si="11"/>
        <v>-1.4977118935608907E-3</v>
      </c>
      <c r="P42" s="7"/>
      <c r="Q42" s="38" cm="1">
        <f t="array" ref="Q42">_xll.DBR($A$5,C42,$E$1,$R$6,$R$5&amp;"-YTD","Amount")</f>
        <v>-10802796.82</v>
      </c>
      <c r="R42" s="40">
        <f t="shared" si="12"/>
        <v>-9.7014231944581107E-4</v>
      </c>
      <c r="S42" s="38" cm="1">
        <f t="array" ref="S42">_xll.DBR($A$6,C42,"Total Source",$E$1,$U$6,$U$5&amp;"-YTD","Amount")</f>
        <v>-13583835.733786669</v>
      </c>
      <c r="T42" s="39">
        <f t="shared" si="4"/>
        <v>2781038.9137866683</v>
      </c>
      <c r="U42" s="41">
        <f t="shared" si="13"/>
        <v>-9.0775927557759021E-4</v>
      </c>
      <c r="V42" s="35">
        <f t="shared" si="5"/>
        <v>0.20473148882899647</v>
      </c>
      <c r="W42" s="38" cm="1">
        <f t="array" ref="W42">_xll.DBR($A$6,C42,"Total Source",$E$1,$Y$6,$Y$5&amp;"-YTD","Amount")</f>
        <v>-12298085.574933335</v>
      </c>
      <c r="X42" s="39">
        <f t="shared" si="6"/>
        <v>1495288.7549333349</v>
      </c>
      <c r="Y42" s="41">
        <f t="shared" si="14"/>
        <v>-1.0112296908074672E-3</v>
      </c>
      <c r="Z42" s="35">
        <f t="shared" si="7"/>
        <v>0.12158711580126896</v>
      </c>
      <c r="AA42" s="36" cm="1">
        <f t="array" ref="AA42">_xll.DBR($A$5,C42,$E$1,$AB$6,$AB$5&amp;"-YTD","Amount")</f>
        <v>-9961610.9500000011</v>
      </c>
      <c r="AB42" s="35">
        <f t="shared" si="15"/>
        <v>-1.0862195932219707E-3</v>
      </c>
    </row>
    <row r="43" spans="3:28">
      <c r="C43" s="25" t="s">
        <v>45</v>
      </c>
      <c r="D43" s="2" cm="1">
        <f t="array" ref="D43">_xll.DBR($A$5,C43,$E$1,$E$6,$E$5,"Amount")</f>
        <v>0</v>
      </c>
      <c r="E43" s="5">
        <f t="shared" si="8"/>
        <v>0</v>
      </c>
      <c r="F43" s="2" cm="1">
        <f t="array" ref="F43">_xll.DBR($A$6,C43,"Total Source",$E$1,$H$6,$H$5,"Amount")</f>
        <v>-1011408.012119367</v>
      </c>
      <c r="G43" s="6">
        <f t="shared" si="0"/>
        <v>1011408.012119367</v>
      </c>
      <c r="H43" s="26">
        <f t="shared" si="9"/>
        <v>-6.3348749130933703E-4</v>
      </c>
      <c r="I43" s="27">
        <f t="shared" si="1"/>
        <v>1</v>
      </c>
      <c r="J43" s="2" cm="1">
        <f t="array" ref="J43">_xll.DBR($A$6,C43,"Total Source",$E$1,$L$6,$L$5,"Amount")</f>
        <v>-666952.07914655085</v>
      </c>
      <c r="K43" s="6">
        <f t="shared" si="2"/>
        <v>666952.07914655085</v>
      </c>
      <c r="L43" s="26">
        <f t="shared" si="10"/>
        <v>-6.6396803693723704E-4</v>
      </c>
      <c r="M43" s="27">
        <f t="shared" si="3"/>
        <v>1</v>
      </c>
      <c r="N43" s="2" cm="1">
        <f t="array" ref="N43">_xll.DBR($A$5,C43,$E$1,$O$6,$O$5,"Amount")</f>
        <v>99254.259999999791</v>
      </c>
      <c r="O43" s="5">
        <f t="shared" si="11"/>
        <v>1.1007561898411112E-4</v>
      </c>
      <c r="P43" s="7"/>
      <c r="Q43" s="38" cm="1">
        <f t="array" ref="Q43">_xll.DBR($A$5,C43,$E$1,$R$6,$R$5&amp;"-YTD","Amount")</f>
        <v>-4201669.62</v>
      </c>
      <c r="R43" s="40">
        <f t="shared" si="12"/>
        <v>-3.7732983213617445E-4</v>
      </c>
      <c r="S43" s="38" cm="1">
        <f t="array" ref="S43">_xll.DBR($A$6,C43,"Total Source",$E$1,$U$6,$U$5&amp;"-YTD","Amount")</f>
        <v>-9336672.5665146187</v>
      </c>
      <c r="T43" s="39">
        <f t="shared" si="4"/>
        <v>5135002.9465146186</v>
      </c>
      <c r="U43" s="41">
        <f t="shared" si="13"/>
        <v>-6.2393651479484061E-4</v>
      </c>
      <c r="V43" s="35">
        <f t="shared" si="5"/>
        <v>0.54998211728351487</v>
      </c>
      <c r="W43" s="38" cm="1">
        <f t="array" ref="W43">_xll.DBR($A$6,C43,"Total Source",$E$1,$Y$6,$Y$5&amp;"-YTD","Amount")</f>
        <v>-5228049.8847958902</v>
      </c>
      <c r="X43" s="39">
        <f t="shared" si="6"/>
        <v>1026380.2647958901</v>
      </c>
      <c r="Y43" s="41">
        <f t="shared" si="14"/>
        <v>-4.2988473582456925E-4</v>
      </c>
      <c r="Z43" s="35">
        <f t="shared" si="7"/>
        <v>0.19632181930413262</v>
      </c>
      <c r="AA43" s="36" cm="1">
        <f t="array" ref="AA43">_xll.DBR($A$5,C43,$E$1,$AB$6,$AB$5&amp;"-YTD","Amount")</f>
        <v>-5986838.5200000023</v>
      </c>
      <c r="AB43" s="35">
        <f t="shared" si="15"/>
        <v>-6.5280819884659593E-4</v>
      </c>
    </row>
    <row r="44" spans="3:28">
      <c r="C44" s="25" t="s">
        <v>46</v>
      </c>
      <c r="D44" s="2" cm="1">
        <f t="array" ref="D44">_xll.DBR($A$5,C44,$E$1,$E$6,$E$5,"Amount")</f>
        <v>0</v>
      </c>
      <c r="E44" s="5">
        <f t="shared" si="8"/>
        <v>0</v>
      </c>
      <c r="F44" s="2" cm="1">
        <f t="array" ref="F44">_xll.DBR($A$6,C44,"Total Source",$E$1,$H$6,$H$5,"Amount")</f>
        <v>-1449133.7799999996</v>
      </c>
      <c r="G44" s="6">
        <f t="shared" si="0"/>
        <v>1449133.7799999996</v>
      </c>
      <c r="H44" s="26">
        <f t="shared" si="9"/>
        <v>-9.0765359959939945E-4</v>
      </c>
      <c r="I44" s="27">
        <f t="shared" si="1"/>
        <v>1</v>
      </c>
      <c r="J44" s="2" cm="1">
        <f t="array" ref="J44">_xll.DBR($A$6,C44,"Total Source",$E$1,$L$6,$L$5,"Amount")</f>
        <v>-1446393.9499999981</v>
      </c>
      <c r="K44" s="6">
        <f t="shared" si="2"/>
        <v>1446393.9499999981</v>
      </c>
      <c r="L44" s="26">
        <f t="shared" si="10"/>
        <v>-1.439922569621937E-3</v>
      </c>
      <c r="M44" s="27">
        <f t="shared" si="3"/>
        <v>1</v>
      </c>
      <c r="N44" s="2" cm="1">
        <f t="array" ref="N44">_xll.DBR($A$5,C44,$E$1,$O$6,$O$5,"Amount")</f>
        <v>-1397394.7899999991</v>
      </c>
      <c r="O44" s="5">
        <f t="shared" si="11"/>
        <v>-1.549748055896263E-3</v>
      </c>
      <c r="P44" s="7"/>
      <c r="Q44" s="38" cm="1">
        <f t="array" ref="Q44">_xll.DBR($A$5,C44,$E$1,$R$6,$R$5&amp;"-YTD","Amount")</f>
        <v>-6871338.7599999979</v>
      </c>
      <c r="R44" s="40">
        <f t="shared" si="12"/>
        <v>-6.1707876519372519E-4</v>
      </c>
      <c r="S44" s="38" cm="1">
        <f t="array" ref="S44">_xll.DBR($A$6,C44,"Total Source",$E$1,$U$6,$U$5&amp;"-YTD","Amount")</f>
        <v>-7677581.4500000002</v>
      </c>
      <c r="T44" s="39">
        <f t="shared" si="4"/>
        <v>806242.69000000227</v>
      </c>
      <c r="U44" s="41">
        <f t="shared" si="13"/>
        <v>-5.1306537504021595E-4</v>
      </c>
      <c r="V44" s="35">
        <f t="shared" si="5"/>
        <v>0.10501258700420589</v>
      </c>
      <c r="W44" s="38" cm="1">
        <f t="array" ref="W44">_xll.DBR($A$6,C44,"Total Source",$E$1,$Y$6,$Y$5&amp;"-YTD","Amount")</f>
        <v>-8287070.8299999973</v>
      </c>
      <c r="X44" s="39">
        <f t="shared" si="6"/>
        <v>1415732.0699999994</v>
      </c>
      <c r="Y44" s="41">
        <f t="shared" si="14"/>
        <v>-6.8141760943681712E-4</v>
      </c>
      <c r="Z44" s="35">
        <f t="shared" si="7"/>
        <v>0.17083624588737825</v>
      </c>
      <c r="AA44" s="36" cm="1">
        <f t="array" ref="AA44">_xll.DBR($A$5,C44,$E$1,$AB$6,$AB$5&amp;"-YTD","Amount")</f>
        <v>-6856277.4299999997</v>
      </c>
      <c r="AB44" s="35">
        <f t="shared" si="15"/>
        <v>-7.4761230070238566E-4</v>
      </c>
    </row>
    <row r="45" spans="3:28">
      <c r="C45" s="25" t="s">
        <v>47</v>
      </c>
      <c r="D45" s="2" cm="1">
        <f t="array" ref="D45">_xll.DBR($A$5,C45,$E$1,$E$6,$E$5,"Amount")</f>
        <v>0</v>
      </c>
      <c r="E45" s="5">
        <f t="shared" si="8"/>
        <v>0</v>
      </c>
      <c r="F45" s="2" cm="1">
        <f t="array" ref="F45">_xll.DBR($A$6,C45,"Total Source",$E$1,$H$6,$H$5,"Amount")</f>
        <v>-1910255.8604200566</v>
      </c>
      <c r="G45" s="6">
        <f t="shared" si="0"/>
        <v>1910255.8604200566</v>
      </c>
      <c r="H45" s="26">
        <f t="shared" si="9"/>
        <v>-1.1964738051072918E-3</v>
      </c>
      <c r="I45" s="27">
        <f t="shared" si="1"/>
        <v>1</v>
      </c>
      <c r="J45" s="2" cm="1">
        <f t="array" ref="J45">_xll.DBR($A$6,C45,"Total Source",$E$1,$L$6,$L$5,"Amount")</f>
        <v>-1784360.179846317</v>
      </c>
      <c r="K45" s="6">
        <f t="shared" si="2"/>
        <v>1784360.179846317</v>
      </c>
      <c r="L45" s="26">
        <f t="shared" si="10"/>
        <v>-1.7763766885884539E-3</v>
      </c>
      <c r="M45" s="27">
        <f t="shared" si="3"/>
        <v>1</v>
      </c>
      <c r="N45" s="2" cm="1">
        <f t="array" ref="N45">_xll.DBR($A$5,C45,$E$1,$O$6,$O$5,"Amount")</f>
        <v>-129710.18043000011</v>
      </c>
      <c r="O45" s="5">
        <f t="shared" si="11"/>
        <v>-1.4385204624338573E-4</v>
      </c>
      <c r="P45" s="7"/>
      <c r="Q45" s="38" cm="1">
        <f t="array" ref="Q45">_xll.DBR($A$5,C45,$E$1,$R$6,$R$5&amp;"-YTD","Amount")</f>
        <v>-11148814.890000002</v>
      </c>
      <c r="R45" s="40">
        <f t="shared" si="12"/>
        <v>-1.0012163809683312E-3</v>
      </c>
      <c r="S45" s="38" cm="1">
        <f t="array" ref="S45">_xll.DBR($A$6,C45,"Total Source",$E$1,$U$6,$U$5&amp;"-YTD","Amount")</f>
        <v>-18270827.996224221</v>
      </c>
      <c r="T45" s="39">
        <f t="shared" si="4"/>
        <v>7122013.1062242184</v>
      </c>
      <c r="U45" s="41">
        <f t="shared" si="13"/>
        <v>-1.2209742454999365E-3</v>
      </c>
      <c r="V45" s="35">
        <f t="shared" si="5"/>
        <v>0.38980242754712741</v>
      </c>
      <c r="W45" s="38" cm="1">
        <f t="array" ref="W45">_xll.DBR($A$6,C45,"Total Source",$E$1,$Y$6,$Y$5&amp;"-YTD","Amount")</f>
        <v>-14124042.731239658</v>
      </c>
      <c r="X45" s="39">
        <f t="shared" si="6"/>
        <v>2975227.8412396554</v>
      </c>
      <c r="Y45" s="41">
        <f t="shared" si="14"/>
        <v>-1.161371928747565E-3</v>
      </c>
      <c r="Z45" s="35">
        <f t="shared" si="7"/>
        <v>0.21064987538298971</v>
      </c>
      <c r="AA45" s="36" cm="1">
        <f t="array" ref="AA45">_xll.DBR($A$5,C45,$E$1,$AB$6,$AB$5&amp;"-YTD","Amount")</f>
        <v>-7813526.299999998</v>
      </c>
      <c r="AB45" s="35">
        <f t="shared" si="15"/>
        <v>-8.5199124938875148E-4</v>
      </c>
    </row>
    <row r="46" spans="3:28">
      <c r="C46" s="25" t="s">
        <v>48</v>
      </c>
      <c r="D46" s="2" cm="1">
        <f t="array" ref="D46">_xll.DBR($A$5,C46,$E$1,$E$6,$E$5,"Amount")</f>
        <v>0</v>
      </c>
      <c r="E46" s="5">
        <f t="shared" si="8"/>
        <v>0</v>
      </c>
      <c r="F46" s="2" cm="1">
        <f t="array" ref="F46">_xll.DBR($A$6,C46,"Total Source",$E$1,$H$6,$H$5,"Amount")</f>
        <v>-510746.65353600128</v>
      </c>
      <c r="G46" s="6">
        <f t="shared" si="0"/>
        <v>510746.65353600128</v>
      </c>
      <c r="H46" s="26">
        <f t="shared" si="9"/>
        <v>-3.1990216842871406E-4</v>
      </c>
      <c r="I46" s="27">
        <f t="shared" si="1"/>
        <v>1</v>
      </c>
      <c r="J46" s="2" cm="1">
        <f t="array" ref="J46">_xll.DBR($A$6,C46,"Total Source",$E$1,$L$6,$L$5,"Amount")</f>
        <v>-458054.94656000211</v>
      </c>
      <c r="K46" s="6">
        <f t="shared" si="2"/>
        <v>458054.94656000211</v>
      </c>
      <c r="L46" s="26">
        <f t="shared" si="10"/>
        <v>-4.5600554100680391E-4</v>
      </c>
      <c r="M46" s="27">
        <f t="shared" si="3"/>
        <v>1</v>
      </c>
      <c r="N46" s="2" cm="1">
        <f t="array" ref="N46">_xll.DBR($A$5,C46,$E$1,$O$6,$O$5,"Amount")</f>
        <v>-830496.16000000131</v>
      </c>
      <c r="O46" s="5">
        <f t="shared" si="11"/>
        <v>-9.2104237013028694E-4</v>
      </c>
      <c r="P46" s="7"/>
      <c r="Q46" s="38" cm="1">
        <f t="array" ref="Q46">_xll.DBR($A$5,C46,$E$1,$R$6,$R$5&amp;"-YTD","Amount")</f>
        <v>-5618102.9699999904</v>
      </c>
      <c r="R46" s="40">
        <f t="shared" si="12"/>
        <v>-5.0453225558316024E-4</v>
      </c>
      <c r="S46" s="38" cm="1">
        <f t="array" ref="S46">_xll.DBR($A$6,C46,"Total Source",$E$1,$U$6,$U$5&amp;"-YTD","Amount")</f>
        <v>-4441657.2773759989</v>
      </c>
      <c r="T46" s="39">
        <f t="shared" si="4"/>
        <v>-1176445.6926239915</v>
      </c>
      <c r="U46" s="41">
        <f t="shared" si="13"/>
        <v>-2.9682010821481048E-4</v>
      </c>
      <c r="V46" s="35">
        <f t="shared" si="5"/>
        <v>-0.26486638188325085</v>
      </c>
      <c r="W46" s="38" cm="1">
        <f t="array" ref="W46">_xll.DBR($A$6,C46,"Total Source",$E$1,$Y$6,$Y$5&amp;"-YTD","Amount")</f>
        <v>-5278850.5696799932</v>
      </c>
      <c r="X46" s="39">
        <f t="shared" si="6"/>
        <v>-339252.40031999722</v>
      </c>
      <c r="Y46" s="41">
        <f t="shared" si="14"/>
        <v>-4.3406190312066182E-4</v>
      </c>
      <c r="Z46" s="35">
        <f t="shared" si="7"/>
        <v>-6.426633901488954E-2</v>
      </c>
      <c r="AA46" s="36" cm="1">
        <f t="array" ref="AA46">_xll.DBR($A$5,C46,$E$1,$AB$6,$AB$5&amp;"-YTD","Amount")</f>
        <v>-2975369.6699999953</v>
      </c>
      <c r="AB46" s="35">
        <f t="shared" si="15"/>
        <v>-3.2443596210032511E-4</v>
      </c>
    </row>
    <row r="47" spans="3:28">
      <c r="C47" s="25" t="s">
        <v>49</v>
      </c>
      <c r="D47" s="2" cm="1">
        <f t="array" ref="D47">_xll.DBR($A$5,C47,$E$1,$E$6,$E$5,"Amount")</f>
        <v>0</v>
      </c>
      <c r="E47" s="5">
        <f t="shared" si="8"/>
        <v>0</v>
      </c>
      <c r="F47" s="2" cm="1">
        <f t="array" ref="F47">_xll.DBR($A$6,C47,"Total Source",$E$1,$H$6,$H$5,"Amount")</f>
        <v>-458345.80000000005</v>
      </c>
      <c r="G47" s="6">
        <f t="shared" si="0"/>
        <v>458345.80000000005</v>
      </c>
      <c r="H47" s="26">
        <f t="shared" si="9"/>
        <v>-2.8708130399890793E-4</v>
      </c>
      <c r="I47" s="27">
        <f t="shared" si="1"/>
        <v>1</v>
      </c>
      <c r="J47" s="2" cm="1">
        <f t="array" ref="J47">_xll.DBR($A$6,C47,"Total Source",$E$1,$L$6,$L$5,"Amount")</f>
        <v>-458345.80000000005</v>
      </c>
      <c r="K47" s="6">
        <f t="shared" si="2"/>
        <v>458345.80000000005</v>
      </c>
      <c r="L47" s="26">
        <f t="shared" si="10"/>
        <v>-4.5629509312550937E-4</v>
      </c>
      <c r="M47" s="27">
        <f t="shared" si="3"/>
        <v>1</v>
      </c>
      <c r="N47" s="2" cm="1">
        <f t="array" ref="N47">_xll.DBR($A$5,C47,$E$1,$O$6,$O$5,"Amount")</f>
        <v>-133451.4</v>
      </c>
      <c r="O47" s="5">
        <f t="shared" si="11"/>
        <v>-1.4800115843185206E-4</v>
      </c>
      <c r="P47" s="7"/>
      <c r="Q47" s="38" cm="1">
        <f t="array" ref="Q47">_xll.DBR($A$5,C47,$E$1,$R$6,$R$5&amp;"-YTD","Amount")</f>
        <v>-3187172.29</v>
      </c>
      <c r="R47" s="40">
        <f t="shared" si="12"/>
        <v>-2.8622316696446179E-4</v>
      </c>
      <c r="S47" s="38" cm="1">
        <f t="array" ref="S47">_xll.DBR($A$6,C47,"Total Source",$E$1,$U$6,$U$5&amp;"-YTD","Amount")</f>
        <v>-4283491.87</v>
      </c>
      <c r="T47" s="39">
        <f t="shared" si="4"/>
        <v>1096319.58</v>
      </c>
      <c r="U47" s="41">
        <f t="shared" si="13"/>
        <v>-2.8625047836689069E-4</v>
      </c>
      <c r="V47" s="35">
        <f t="shared" si="5"/>
        <v>0.25594062350817537</v>
      </c>
      <c r="W47" s="38" cm="1">
        <f t="array" ref="W47">_xll.DBR($A$6,C47,"Total Source",$E$1,$Y$6,$Y$5&amp;"-YTD","Amount")</f>
        <v>-3645801.54</v>
      </c>
      <c r="X47" s="39">
        <f t="shared" si="6"/>
        <v>458629.25</v>
      </c>
      <c r="Y47" s="41">
        <f t="shared" si="14"/>
        <v>-2.9978184340773487E-4</v>
      </c>
      <c r="Z47" s="35">
        <f t="shared" si="7"/>
        <v>0.12579654843198074</v>
      </c>
      <c r="AA47" s="36" cm="1">
        <f t="array" ref="AA47">_xll.DBR($A$5,C47,$E$1,$AB$6,$AB$5&amp;"-YTD","Amount")</f>
        <v>-1958876.74</v>
      </c>
      <c r="AB47" s="35">
        <f t="shared" si="15"/>
        <v>-2.1359700819221212E-4</v>
      </c>
    </row>
    <row r="48" spans="3:28">
      <c r="C48" s="25" t="s">
        <v>50</v>
      </c>
      <c r="D48" s="2" cm="1">
        <f t="array" ref="D48">_xll.DBR($A$5,C48,$E$1,$E$6,$E$5,"Amount")</f>
        <v>0</v>
      </c>
      <c r="E48" s="5">
        <f t="shared" si="8"/>
        <v>0</v>
      </c>
      <c r="F48" s="2" cm="1">
        <f t="array" ref="F48">_xll.DBR($A$6,C48,"Total Source",$E$1,$H$6,$H$5,"Amount")</f>
        <v>-534792.75999999989</v>
      </c>
      <c r="G48" s="6">
        <f t="shared" si="0"/>
        <v>534792.75999999989</v>
      </c>
      <c r="H48" s="26">
        <f t="shared" si="9"/>
        <v>-3.3496325898475554E-4</v>
      </c>
      <c r="I48" s="27">
        <f t="shared" si="1"/>
        <v>1</v>
      </c>
      <c r="J48" s="2" cm="1">
        <f t="array" ref="J48">_xll.DBR($A$6,C48,"Total Source",$E$1,$L$6,$L$5,"Amount")</f>
        <v>-509246.08999999991</v>
      </c>
      <c r="K48" s="6">
        <f t="shared" si="2"/>
        <v>509246.08999999991</v>
      </c>
      <c r="L48" s="26">
        <f t="shared" si="10"/>
        <v>-5.0696764770256746E-4</v>
      </c>
      <c r="M48" s="27">
        <f t="shared" si="3"/>
        <v>1</v>
      </c>
      <c r="N48" s="2" cm="1">
        <f t="array" ref="N48">_xll.DBR($A$5,C48,$E$1,$O$6,$O$5,"Amount")</f>
        <v>-530316.27999999945</v>
      </c>
      <c r="O48" s="5">
        <f t="shared" si="11"/>
        <v>-5.8813488487397176E-4</v>
      </c>
      <c r="P48" s="7"/>
      <c r="Q48" s="38" cm="1">
        <f t="array" ref="Q48">_xll.DBR($A$5,C48,$E$1,$R$6,$R$5&amp;"-YTD","Amount")</f>
        <v>-6762689.3100000201</v>
      </c>
      <c r="R48" s="40">
        <f t="shared" si="12"/>
        <v>-6.0732152999012077E-4</v>
      </c>
      <c r="S48" s="38" cm="1">
        <f t="array" ref="S48">_xll.DBR($A$6,C48,"Total Source",$E$1,$U$6,$U$5&amp;"-YTD","Amount")</f>
        <v>-5873307.3299999982</v>
      </c>
      <c r="T48" s="39">
        <f t="shared" si="4"/>
        <v>-889381.98000002187</v>
      </c>
      <c r="U48" s="41">
        <f t="shared" si="13"/>
        <v>-3.9249217316905167E-4</v>
      </c>
      <c r="V48" s="35">
        <f t="shared" si="5"/>
        <v>-0.15142779528276823</v>
      </c>
      <c r="W48" s="38" cm="1">
        <f t="array" ref="W48">_xll.DBR($A$6,C48,"Total Source",$E$1,$Y$6,$Y$5&amp;"-YTD","Amount")</f>
        <v>-6969980.4300000109</v>
      </c>
      <c r="X48" s="39">
        <f t="shared" si="6"/>
        <v>207291.1199999908</v>
      </c>
      <c r="Y48" s="41">
        <f t="shared" si="14"/>
        <v>-5.7311775171976027E-4</v>
      </c>
      <c r="Z48" s="35">
        <f t="shared" si="7"/>
        <v>2.9740559831097042E-2</v>
      </c>
      <c r="AA48" s="36" cm="1">
        <f t="array" ref="AA48">_xll.DBR($A$5,C48,$E$1,$AB$6,$AB$5&amp;"-YTD","Amount")</f>
        <v>-4370579.7900000066</v>
      </c>
      <c r="AB48" s="35">
        <f t="shared" si="15"/>
        <v>-4.765704488427118E-4</v>
      </c>
    </row>
    <row r="49" spans="3:28">
      <c r="C49" s="25" t="s">
        <v>51</v>
      </c>
      <c r="D49" s="2" cm="1">
        <f t="array" ref="D49">_xll.DBR($A$5,C49,$E$1,$E$6,$E$5,"Amount")</f>
        <v>-9506973.8999999966</v>
      </c>
      <c r="E49" s="5">
        <f t="shared" si="8"/>
        <v>0</v>
      </c>
      <c r="F49" s="2" cm="1">
        <f t="array" ref="F49">_xll.DBR($A$6,C49,"Total Source",$E$1,$H$6,$H$5,"Amount")</f>
        <v>-406180.84667066601</v>
      </c>
      <c r="G49" s="6">
        <f t="shared" si="0"/>
        <v>-9100793.0533293299</v>
      </c>
      <c r="H49" s="26">
        <f t="shared" si="9"/>
        <v>-2.5440819381697242E-4</v>
      </c>
      <c r="I49" s="27">
        <f t="shared" si="1"/>
        <v>-22.405766120991693</v>
      </c>
      <c r="J49" s="2" cm="1">
        <f t="array" ref="J49">_xll.DBR($A$6,C49,"Total Source",$E$1,$L$6,$L$5,"Amount")</f>
        <v>-341558.97922066576</v>
      </c>
      <c r="K49" s="6">
        <f t="shared" si="2"/>
        <v>-9165414.9207793307</v>
      </c>
      <c r="L49" s="26">
        <f t="shared" si="10"/>
        <v>-3.4003079384898385E-4</v>
      </c>
      <c r="M49" s="27">
        <f t="shared" si="3"/>
        <v>-26.83406228023059</v>
      </c>
      <c r="N49" s="2" cm="1">
        <f t="array" ref="N49">_xll.DBR($A$5,C49,$E$1,$O$6,$O$5,"Amount")</f>
        <v>-475457.62000000011</v>
      </c>
      <c r="O49" s="5">
        <f t="shared" si="11"/>
        <v>-5.2729516921704337E-4</v>
      </c>
      <c r="P49" s="7"/>
      <c r="Q49" s="38" cm="1">
        <f t="array" ref="Q49">_xll.DBR($A$5,C49,$E$1,$R$6,$R$5&amp;"-YTD","Amount")</f>
        <v>-22516094.329999991</v>
      </c>
      <c r="R49" s="40">
        <f t="shared" si="12"/>
        <v>-2.0220519132347122E-3</v>
      </c>
      <c r="S49" s="38" cm="1">
        <f t="array" ref="S49">_xll.DBR($A$6,C49,"Total Source",$E$1,$U$6,$U$5&amp;"-YTD","Amount")</f>
        <v>-6625804.9928473327</v>
      </c>
      <c r="T49" s="39">
        <f t="shared" si="4"/>
        <v>-15890289.337152658</v>
      </c>
      <c r="U49" s="41">
        <f t="shared" si="13"/>
        <v>-4.4277890709952056E-4</v>
      </c>
      <c r="V49" s="35">
        <f t="shared" si="5"/>
        <v>-2.3982428330303249</v>
      </c>
      <c r="W49" s="38" cm="1">
        <f t="array" ref="W49">_xll.DBR($A$6,C49,"Total Source",$E$1,$Y$6,$Y$5&amp;"-YTD","Amount")</f>
        <v>-12520352.726861332</v>
      </c>
      <c r="X49" s="39">
        <f t="shared" si="6"/>
        <v>-9995741.6031386591</v>
      </c>
      <c r="Y49" s="41">
        <f t="shared" si="14"/>
        <v>-1.0295059616913624E-3</v>
      </c>
      <c r="Z49" s="35">
        <f t="shared" si="7"/>
        <v>-0.79835942494604495</v>
      </c>
      <c r="AA49" s="36" cm="1">
        <f t="array" ref="AA49">_xll.DBR($A$5,C49,$E$1,$AB$6,$AB$5&amp;"-YTD","Amount")</f>
        <v>-2226882.0999999996</v>
      </c>
      <c r="AB49" s="35">
        <f t="shared" si="15"/>
        <v>-2.4282046156553496E-4</v>
      </c>
    </row>
    <row r="50" spans="3:28">
      <c r="C50" s="25" t="s">
        <v>52</v>
      </c>
      <c r="D50" s="2" cm="1">
        <f t="array" ref="D50">_xll.DBR($A$5,C50,$E$1,$E$6,$E$5,"Amount")</f>
        <v>6.9999816787458258E-5</v>
      </c>
      <c r="E50" s="5">
        <f t="shared" si="8"/>
        <v>0</v>
      </c>
      <c r="F50" s="2" cm="1">
        <f t="array" ref="F50">_xll.DBR($A$6,C50,"Total Source",$E$1,$H$6,$H$5,"Amount")</f>
        <v>-10844500.891598679</v>
      </c>
      <c r="G50" s="6">
        <f t="shared" si="0"/>
        <v>10844500.891668679</v>
      </c>
      <c r="H50" s="26">
        <f t="shared" si="9"/>
        <v>-6.7923682450618476E-3</v>
      </c>
      <c r="I50" s="27">
        <f t="shared" si="1"/>
        <v>1.0000000000064548</v>
      </c>
      <c r="J50" s="2" cm="1">
        <f t="array" ref="J50">_xll.DBR($A$6,C50,"Total Source",$E$1,$L$6,$L$5,"Amount")</f>
        <v>-9449401.7539200149</v>
      </c>
      <c r="K50" s="6">
        <f t="shared" si="2"/>
        <v>9449401.753990015</v>
      </c>
      <c r="L50" s="26">
        <f t="shared" si="10"/>
        <v>-9.4071237334023439E-3</v>
      </c>
      <c r="M50" s="27">
        <f t="shared" si="3"/>
        <v>1.0000000000074079</v>
      </c>
      <c r="N50" s="2" cm="1">
        <f t="array" ref="N50">_xll.DBR($A$5,C50,$E$1,$O$6,$O$5,"Amount")</f>
        <v>-5902711.7501400001</v>
      </c>
      <c r="O50" s="5">
        <f t="shared" si="11"/>
        <v>-6.5462646095134636E-3</v>
      </c>
      <c r="P50" s="7"/>
      <c r="Q50" s="38" cm="1">
        <f t="array" ref="Q50">_xll.DBR($A$5,C50,$E$1,$R$6,$R$5&amp;"-YTD","Amount")</f>
        <v>-93867923.350000009</v>
      </c>
      <c r="R50" s="40">
        <f t="shared" si="12"/>
        <v>-8.4297841010704689E-3</v>
      </c>
      <c r="S50" s="38" cm="1">
        <f t="array" ref="S50">_xll.DBR($A$6,C50,"Total Source",$E$1,$U$6,$U$5&amp;"-YTD","Amount")</f>
        <v>-115163510.22483844</v>
      </c>
      <c r="T50" s="39">
        <f t="shared" si="4"/>
        <v>21295586.874838427</v>
      </c>
      <c r="U50" s="41">
        <f t="shared" si="13"/>
        <v>-7.6959664901314045E-3</v>
      </c>
      <c r="V50" s="35">
        <f t="shared" si="5"/>
        <v>0.18491609741021423</v>
      </c>
      <c r="W50" s="38" cm="1">
        <f t="array" ref="W50">_xll.DBR($A$6,C50,"Total Source",$E$1,$Y$6,$Y$5&amp;"-YTD","Amount")</f>
        <v>-103726962.11010003</v>
      </c>
      <c r="X50" s="39">
        <f t="shared" si="6"/>
        <v>9859038.760100022</v>
      </c>
      <c r="Y50" s="41">
        <f t="shared" si="14"/>
        <v>-8.5291148109093336E-3</v>
      </c>
      <c r="Z50" s="35">
        <f t="shared" si="7"/>
        <v>9.5047985205960583E-2</v>
      </c>
      <c r="AA50" s="36" cm="1">
        <f t="array" ref="AA50">_xll.DBR($A$5,C50,$E$1,$AB$6,$AB$5&amp;"-YTD","Amount")</f>
        <v>-59958313.710080013</v>
      </c>
      <c r="AB50" s="35">
        <f t="shared" si="15"/>
        <v>-6.5378878431744435E-3</v>
      </c>
    </row>
    <row r="51" spans="3:28">
      <c r="C51" s="25" t="s">
        <v>53</v>
      </c>
      <c r="D51" s="2" cm="1">
        <f t="array" ref="D51">_xll.DBR($A$5,C51,$E$1,$E$6,$E$5,"Amount")</f>
        <v>-3.0000044716871344E-5</v>
      </c>
      <c r="E51" s="5">
        <f t="shared" si="8"/>
        <v>0</v>
      </c>
      <c r="F51" s="2" cm="1">
        <f t="array" ref="F51">_xll.DBR($A$6,C51,"Total Source",$E$1,$H$6,$H$5,"Amount")</f>
        <v>-3585114.1185386665</v>
      </c>
      <c r="G51" s="6">
        <f t="shared" si="0"/>
        <v>3585114.1185086663</v>
      </c>
      <c r="H51" s="26">
        <f t="shared" si="9"/>
        <v>-2.2455081646542323E-3</v>
      </c>
      <c r="I51" s="27">
        <f t="shared" si="1"/>
        <v>0.99999999999163203</v>
      </c>
      <c r="J51" s="2" cm="1">
        <f t="array" ref="J51">_xll.DBR($A$6,C51,"Total Source",$E$1,$L$6,$L$5,"Amount")</f>
        <v>-3117786.3597279973</v>
      </c>
      <c r="K51" s="6">
        <f t="shared" si="2"/>
        <v>3117786.3596979971</v>
      </c>
      <c r="L51" s="26">
        <f t="shared" si="10"/>
        <v>-3.1038369225975873E-3</v>
      </c>
      <c r="M51" s="27">
        <f t="shared" si="3"/>
        <v>0.9999999999903777</v>
      </c>
      <c r="N51" s="2" cm="1">
        <f t="array" ref="N51">_xll.DBR($A$5,C51,$E$1,$O$6,$O$5,"Amount")</f>
        <v>-2215114.3199599986</v>
      </c>
      <c r="O51" s="5">
        <f t="shared" si="11"/>
        <v>-2.4566208028770327E-3</v>
      </c>
      <c r="P51" s="7"/>
      <c r="Q51" s="38" cm="1">
        <f t="array" ref="Q51">_xll.DBR($A$5,C51,$E$1,$R$6,$R$5&amp;"-YTD","Amount")</f>
        <v>-25775249.980000004</v>
      </c>
      <c r="R51" s="40">
        <f t="shared" si="12"/>
        <v>-2.314739526860119E-3</v>
      </c>
      <c r="S51" s="38" cm="1">
        <f t="array" ref="S51">_xll.DBR($A$6,C51,"Total Source",$E$1,$U$6,$U$5&amp;"-YTD","Amount")</f>
        <v>-34250904.011773661</v>
      </c>
      <c r="T51" s="39">
        <f t="shared" si="4"/>
        <v>8475654.0317736566</v>
      </c>
      <c r="U51" s="41">
        <f t="shared" si="13"/>
        <v>-2.288865709430812E-3</v>
      </c>
      <c r="V51" s="35">
        <f t="shared" si="5"/>
        <v>0.2474578197661636</v>
      </c>
      <c r="W51" s="38" cm="1">
        <f t="array" ref="W51">_xll.DBR($A$6,C51,"Total Source",$E$1,$Y$6,$Y$5&amp;"-YTD","Amount")</f>
        <v>-29249360.676034007</v>
      </c>
      <c r="X51" s="39">
        <f t="shared" si="6"/>
        <v>3474110.696034003</v>
      </c>
      <c r="Y51" s="41">
        <f t="shared" si="14"/>
        <v>-2.4050753080649542E-3</v>
      </c>
      <c r="Z51" s="35">
        <f t="shared" si="7"/>
        <v>0.11877561135483479</v>
      </c>
      <c r="AA51" s="36" cm="1">
        <f t="array" ref="AA51">_xll.DBR($A$5,C51,$E$1,$AB$6,$AB$5&amp;"-YTD","Amount")</f>
        <v>-20097516.839989994</v>
      </c>
      <c r="AB51" s="35">
        <f t="shared" si="15"/>
        <v>-2.1914444035485681E-3</v>
      </c>
    </row>
    <row r="52" spans="3:28">
      <c r="C52" s="25" t="s">
        <v>54</v>
      </c>
      <c r="D52" s="2" cm="1">
        <f t="array" ref="D52">_xll.DBR($A$5,C52,$E$1,$E$6,$E$5,"Amount")</f>
        <v>24122546.493603356</v>
      </c>
      <c r="E52" s="5">
        <f t="shared" si="8"/>
        <v>0</v>
      </c>
      <c r="F52" s="2" cm="1">
        <f t="array" ref="F52">_xll.DBR($A$6,C52,"Total Source",$E$1,$H$6,$H$5,"Amount")</f>
        <v>-31750302.999999996</v>
      </c>
      <c r="G52" s="6">
        <f t="shared" si="0"/>
        <v>55872849.493603349</v>
      </c>
      <c r="H52" s="26">
        <f t="shared" si="9"/>
        <v>-1.988655374959351E-2</v>
      </c>
      <c r="I52" s="27">
        <f t="shared" si="1"/>
        <v>1.7597579932891776</v>
      </c>
      <c r="J52" s="2" cm="1">
        <f t="array" ref="J52">_xll.DBR($A$6,C52,"Total Source",$E$1,$L$6,$L$5,"Amount")</f>
        <v>-32150666.999999993</v>
      </c>
      <c r="K52" s="6">
        <f t="shared" si="2"/>
        <v>56273213.493603349</v>
      </c>
      <c r="L52" s="26">
        <f t="shared" si="10"/>
        <v>-3.2006820162445548E-2</v>
      </c>
      <c r="M52" s="27">
        <f t="shared" si="3"/>
        <v>1.7502969221012852</v>
      </c>
      <c r="N52" s="2" cm="1">
        <f t="array" ref="N52">_xll.DBR($A$5,C52,$E$1,$O$6,$O$5,"Amount")</f>
        <v>-18847815.196009997</v>
      </c>
      <c r="O52" s="5">
        <f t="shared" si="11"/>
        <v>-2.0902729255136664E-2</v>
      </c>
      <c r="P52" s="7"/>
      <c r="Q52" s="38" cm="1">
        <f t="array" ref="Q52">_xll.DBR($A$5,C52,$E$1,$R$6,$R$5&amp;"-YTD","Amount")</f>
        <v>-206206615.6400001</v>
      </c>
      <c r="R52" s="40">
        <f t="shared" si="12"/>
        <v>-1.8518330735582653E-2</v>
      </c>
      <c r="S52" s="38" cm="1">
        <f t="array" ref="S52">_xll.DBR($A$6,C52,"Total Source",$E$1,$U$6,$U$5&amp;"-YTD","Amount")</f>
        <v>-272035259.72965032</v>
      </c>
      <c r="T52" s="39">
        <f t="shared" si="4"/>
        <v>65828644.089650214</v>
      </c>
      <c r="U52" s="41">
        <f t="shared" si="13"/>
        <v>-1.817914579823254E-2</v>
      </c>
      <c r="V52" s="35">
        <f t="shared" si="5"/>
        <v>0.2419857049232183</v>
      </c>
      <c r="W52" s="38" cm="1">
        <f t="array" ref="W52">_xll.DBR($A$6,C52,"Total Source",$E$1,$Y$6,$Y$5&amp;"-YTD","Amount")</f>
        <v>-265833554.29490641</v>
      </c>
      <c r="X52" s="39">
        <f t="shared" si="6"/>
        <v>59626938.654906303</v>
      </c>
      <c r="Y52" s="41">
        <f t="shared" si="14"/>
        <v>-2.185858776782381E-2</v>
      </c>
      <c r="Z52" s="35">
        <f t="shared" si="7"/>
        <v>0.22430177715172206</v>
      </c>
      <c r="AA52" s="36" cm="1">
        <f t="array" ref="AA52">_xll.DBR($A$5,C52,$E$1,$AB$6,$AB$5&amp;"-YTD","Amount")</f>
        <v>-173002670.19607025</v>
      </c>
      <c r="AB52" s="35">
        <f t="shared" si="15"/>
        <v>-1.8864307288239377E-2</v>
      </c>
    </row>
    <row r="53" spans="3:28">
      <c r="C53" s="22" t="s">
        <v>55</v>
      </c>
      <c r="D53" s="1" cm="1">
        <f t="array" ref="D53">_xll.DBR($A$5,C53,$E$1,$E$6,$E$5,"Amount")</f>
        <v>-156608470.11646682</v>
      </c>
      <c r="E53" s="3">
        <f t="shared" si="8"/>
        <v>0</v>
      </c>
      <c r="F53" s="1" cm="1">
        <f t="array" ref="F53">_xll.DBR($A$6,C53,"Total Source",$E$1,$H$6,$H$5,"Amount")</f>
        <v>-358973437.01195133</v>
      </c>
      <c r="G53" s="4">
        <f t="shared" si="0"/>
        <v>202364966.89548451</v>
      </c>
      <c r="H53" s="23">
        <f t="shared" si="9"/>
        <v>-0.22484020230655724</v>
      </c>
      <c r="I53" s="24">
        <f t="shared" si="1"/>
        <v>0.56373242705628701</v>
      </c>
      <c r="J53" s="1" cm="1">
        <f t="array" ref="J53">_xll.DBR($A$6,C53,"Total Source",$E$1,$L$6,$L$5,"Amount")</f>
        <v>-364167369.92752624</v>
      </c>
      <c r="K53" s="4">
        <f t="shared" si="2"/>
        <v>207558899.81105942</v>
      </c>
      <c r="L53" s="23">
        <f t="shared" si="10"/>
        <v>-0.36253803127322731</v>
      </c>
      <c r="M53" s="24">
        <f t="shared" si="3"/>
        <v>0.56995468828622997</v>
      </c>
      <c r="N53" s="1" cm="1">
        <f t="array" ref="N53">_xll.DBR($A$5,C53,$E$1,$O$6,$O$5,"Amount")</f>
        <v>-268472699.79558015</v>
      </c>
      <c r="O53" s="3">
        <f t="shared" si="11"/>
        <v>-0.29774337756720964</v>
      </c>
      <c r="P53" s="7"/>
      <c r="Q53" s="44" cm="1">
        <f t="array" ref="Q53">_xll.DBR($A$5,C53,$E$1,$R$6,$R$5&amp;"-YTD","Amount")</f>
        <v>-4045061157.849999</v>
      </c>
      <c r="R53" s="47">
        <f t="shared" si="12"/>
        <v>-0.36326565049445741</v>
      </c>
      <c r="S53" s="44" cm="1">
        <f t="array" ref="S53">_xll.DBR($A$6,C53,"Total Source",$E$1,$U$6,$U$5&amp;"-YTD","Amount")</f>
        <v>-3958375129.175684</v>
      </c>
      <c r="T53" s="33">
        <f t="shared" si="4"/>
        <v>-86686028.674314976</v>
      </c>
      <c r="U53" s="48">
        <f t="shared" si="13"/>
        <v>-0.26452408657942478</v>
      </c>
      <c r="V53" s="50">
        <f t="shared" si="5"/>
        <v>-2.1899397062038181E-2</v>
      </c>
      <c r="W53" s="44" cm="1">
        <f t="array" ref="W53">_xll.DBR($A$6,C53,"Total Source",$E$1,$Y$6,$Y$5&amp;"-YTD","Amount")</f>
        <v>-4200638086.0871763</v>
      </c>
      <c r="X53" s="33">
        <f t="shared" si="6"/>
        <v>155576928.23717737</v>
      </c>
      <c r="Y53" s="48">
        <f t="shared" si="14"/>
        <v>-0.34540416287606068</v>
      </c>
      <c r="Z53" s="50">
        <f t="shared" si="7"/>
        <v>3.7036498991060346E-2</v>
      </c>
      <c r="AA53" s="34" cm="1">
        <f t="array" ref="AA53">_xll.DBR($A$5,C53,$E$1,$AB$6,$AB$5&amp;"-YTD","Amount")</f>
        <v>-2473783801.3055706</v>
      </c>
      <c r="AB53" s="50">
        <f t="shared" si="15"/>
        <v>-0.26974276026843202</v>
      </c>
    </row>
    <row r="54" spans="3:28">
      <c r="C54" s="22" t="s">
        <v>56</v>
      </c>
      <c r="D54" s="1" cm="1">
        <f t="array" ref="D54">_xll.DBR($A$5,C54,$E$1,$E$6,$E$5,"Amount")</f>
        <v>-430241651.0364362</v>
      </c>
      <c r="E54" s="3">
        <f t="shared" si="8"/>
        <v>0</v>
      </c>
      <c r="F54" s="1" cm="1">
        <f t="array" ref="F54">_xll.DBR($A$6,C54,"Total Source",$E$1,$H$6,$H$5,"Amount")</f>
        <v>195296732.71186516</v>
      </c>
      <c r="G54" s="4">
        <f t="shared" si="0"/>
        <v>-625538383.74830139</v>
      </c>
      <c r="H54" s="23">
        <f t="shared" si="9"/>
        <v>0.12232257979378981</v>
      </c>
      <c r="I54" s="24">
        <f t="shared" si="1"/>
        <v>-3.2030150994446061</v>
      </c>
      <c r="J54" s="1" cm="1">
        <f t="array" ref="J54">_xll.DBR($A$6,C54,"Total Source",$E$1,$L$6,$L$5,"Amount")</f>
        <v>25602697.434430983</v>
      </c>
      <c r="K54" s="4">
        <f t="shared" si="2"/>
        <v>-455844348.47086716</v>
      </c>
      <c r="L54" s="23">
        <f t="shared" si="10"/>
        <v>2.5488147180813971E-2</v>
      </c>
      <c r="M54" s="24">
        <f t="shared" si="3"/>
        <v>-17.804543823489443</v>
      </c>
      <c r="N54" s="1" cm="1">
        <f t="array" ref="N54">_xll.DBR($A$5,C54,$E$1,$O$6,$O$5,"Amount")</f>
        <v>28482954.343219388</v>
      </c>
      <c r="O54" s="3">
        <f t="shared" si="11"/>
        <v>3.1588355299067838E-2</v>
      </c>
      <c r="P54" s="7"/>
      <c r="Q54" s="44" cm="1">
        <f t="array" ref="Q54">_xll.DBR($A$5,C54,$E$1,$R$6,$R$5&amp;"-YTD","Amount")</f>
        <v>-297524792.32896465</v>
      </c>
      <c r="R54" s="47">
        <f t="shared" si="12"/>
        <v>-2.6719135510192352E-2</v>
      </c>
      <c r="S54" s="44" cm="1">
        <f t="array" ref="S54">_xll.DBR($A$6,C54,"Total Source",$E$1,$U$6,$U$5&amp;"-YTD","Amount")</f>
        <v>1242893584.8825345</v>
      </c>
      <c r="T54" s="33">
        <f t="shared" si="4"/>
        <v>-1540418377.2114992</v>
      </c>
      <c r="U54" s="48">
        <f t="shared" si="13"/>
        <v>8.305814368961674E-2</v>
      </c>
      <c r="V54" s="50">
        <f t="shared" si="5"/>
        <v>-1.2393807450193604</v>
      </c>
      <c r="W54" s="44" cm="1">
        <f t="array" ref="W54">_xll.DBR($A$6,C54,"Total Source",$E$1,$Y$6,$Y$5&amp;"-YTD","Amount")</f>
        <v>226376384.4325245</v>
      </c>
      <c r="X54" s="33">
        <f t="shared" si="6"/>
        <v>-523901176.76148915</v>
      </c>
      <c r="Y54" s="48">
        <f t="shared" si="14"/>
        <v>1.8614159077117578E-2</v>
      </c>
      <c r="Z54" s="50">
        <f t="shared" si="7"/>
        <v>-2.3142925357465773</v>
      </c>
      <c r="AA54" s="34" cm="1">
        <f t="array" ref="AA54">_xll.DBR($A$5,C54,$E$1,$AB$6,$AB$5&amp;"-YTD","Amount")</f>
        <v>639797900.77614033</v>
      </c>
      <c r="AB54" s="50">
        <f t="shared" si="15"/>
        <v>6.9763918608498746E-2</v>
      </c>
    </row>
    <row r="55" spans="3:28">
      <c r="C55" s="25" t="s">
        <v>57</v>
      </c>
      <c r="D55" s="2" cm="1">
        <f t="array" ref="D55">_xll.DBR($A$5,C55,$E$1,$E$6,$E$5,"Amount")</f>
        <v>-9997362.2799999993</v>
      </c>
      <c r="E55" s="5">
        <f t="shared" si="8"/>
        <v>0</v>
      </c>
      <c r="F55" s="2" cm="1">
        <f t="array" ref="F55">_xll.DBR($A$6,C55,"Total Source",$E$1,$H$6,$H$5,"Amount")</f>
        <v>-78853876.576404497</v>
      </c>
      <c r="G55" s="6">
        <f t="shared" si="0"/>
        <v>68856514.296404496</v>
      </c>
      <c r="H55" s="26">
        <f t="shared" si="9"/>
        <v>-4.9389508342659941E-2</v>
      </c>
      <c r="I55" s="27">
        <f t="shared" si="1"/>
        <v>0.873216603747906</v>
      </c>
      <c r="J55" s="2" cm="1">
        <f t="array" ref="J55">_xll.DBR($A$6,C55,"Total Source",$E$1,$L$6,$L$5,"Amount")</f>
        <v>-85997096.523110315</v>
      </c>
      <c r="K55" s="6">
        <f t="shared" si="2"/>
        <v>75999734.243110314</v>
      </c>
      <c r="L55" s="26">
        <f t="shared" si="10"/>
        <v>-8.561233279880831E-2</v>
      </c>
      <c r="M55" s="27">
        <f t="shared" si="3"/>
        <v>0.8837476765589013</v>
      </c>
      <c r="N55" s="2" cm="1">
        <f t="array" ref="N55">_xll.DBR($A$5,C55,$E$1,$O$6,$O$5,"Amount")</f>
        <v>-43795953.329020008</v>
      </c>
      <c r="O55" s="5">
        <f t="shared" si="11"/>
        <v>-4.8570879191393197E-2</v>
      </c>
      <c r="P55" s="7"/>
      <c r="Q55" s="38" cm="1">
        <f t="array" ref="Q55">_xll.DBR($A$5,C55,$E$1,$R$6,$R$5&amp;"-YTD","Amount")</f>
        <v>-537036535.53999996</v>
      </c>
      <c r="R55" s="40">
        <f t="shared" si="12"/>
        <v>-4.8228424443876407E-2</v>
      </c>
      <c r="S55" s="38" cm="1">
        <f t="array" ref="S55">_xll.DBR($A$6,C55,"Total Source",$E$1,$U$6,$U$5&amp;"-YTD","Amount")</f>
        <v>-734945467.12441599</v>
      </c>
      <c r="T55" s="39">
        <f t="shared" si="4"/>
        <v>197908931.58441603</v>
      </c>
      <c r="U55" s="41">
        <f t="shared" si="13"/>
        <v>-4.9113783315746548E-2</v>
      </c>
      <c r="V55" s="35">
        <f t="shared" si="5"/>
        <v>0.26928383184505417</v>
      </c>
      <c r="W55" s="38" cm="1">
        <f t="array" ref="W55">_xll.DBR($A$6,C55,"Total Source",$E$1,$Y$6,$Y$5&amp;"-YTD","Amount")</f>
        <v>-650229818.8919785</v>
      </c>
      <c r="X55" s="39">
        <f t="shared" si="6"/>
        <v>113193283.35197854</v>
      </c>
      <c r="Y55" s="41">
        <f t="shared" si="14"/>
        <v>-5.3466183391352368E-2</v>
      </c>
      <c r="Z55" s="35">
        <f t="shared" si="7"/>
        <v>0.17408196312015511</v>
      </c>
      <c r="AA55" s="36" cm="1">
        <f t="array" ref="AA55">_xll.DBR($A$5,C55,$E$1,$AB$6,$AB$5&amp;"-YTD","Amount")</f>
        <v>-407489493.89840007</v>
      </c>
      <c r="AB55" s="35">
        <f t="shared" si="15"/>
        <v>-4.4432880838871432E-2</v>
      </c>
    </row>
    <row r="56" spans="3:28">
      <c r="C56" s="25" t="s">
        <v>58</v>
      </c>
      <c r="D56" s="2" cm="1">
        <f t="array" ref="D56">_xll.DBR($A$5,C56,$E$1,$E$6,$E$5,"Amount")</f>
        <v>-18239415.460000001</v>
      </c>
      <c r="E56" s="5">
        <f t="shared" si="8"/>
        <v>0</v>
      </c>
      <c r="F56" s="2" cm="1">
        <f t="array" ref="F56">_xll.DBR($A$6,C56,"Total Source",$E$1,$H$6,$H$5,"Amount")</f>
        <v>-32853602.852138191</v>
      </c>
      <c r="G56" s="6">
        <f t="shared" si="0"/>
        <v>14614187.392138191</v>
      </c>
      <c r="H56" s="26">
        <f t="shared" si="9"/>
        <v>-2.0577596975589332E-2</v>
      </c>
      <c r="I56" s="27">
        <f t="shared" si="1"/>
        <v>0.44482754168275535</v>
      </c>
      <c r="J56" s="2" cm="1">
        <f t="array" ref="J56">_xll.DBR($A$6,C56,"Total Source",$E$1,$L$6,$L$5,"Amount")</f>
        <v>-21075120.373939041</v>
      </c>
      <c r="K56" s="6">
        <f t="shared" si="2"/>
        <v>2835704.9139390402</v>
      </c>
      <c r="L56" s="26">
        <f t="shared" si="10"/>
        <v>-2.0980827169481717E-2</v>
      </c>
      <c r="M56" s="27">
        <f t="shared" si="3"/>
        <v>0.1345522523062597</v>
      </c>
      <c r="N56" s="2" cm="1">
        <f t="array" ref="N56">_xll.DBR($A$5,C56,$E$1,$O$6,$O$5,"Amount")</f>
        <v>-29948104.264930002</v>
      </c>
      <c r="O56" s="5">
        <f t="shared" si="11"/>
        <v>-3.3213245601376458E-2</v>
      </c>
      <c r="P56" s="7"/>
      <c r="Q56" s="38" cm="1">
        <f t="array" ref="Q56">_xll.DBR($A$5,C56,$E$1,$R$6,$R$5&amp;"-YTD","Amount")</f>
        <v>-247756395.60000002</v>
      </c>
      <c r="R56" s="40">
        <f t="shared" si="12"/>
        <v>-2.2249697767148965E-2</v>
      </c>
      <c r="S56" s="38" cm="1">
        <f t="array" ref="S56">_xll.DBR($A$6,C56,"Total Source",$E$1,$U$6,$U$5&amp;"-YTD","Amount")</f>
        <v>-268414300.79484662</v>
      </c>
      <c r="T56" s="39">
        <f t="shared" si="4"/>
        <v>20657905.1948466</v>
      </c>
      <c r="U56" s="41">
        <f t="shared" si="13"/>
        <v>-1.7937170032037281E-2</v>
      </c>
      <c r="V56" s="35">
        <f t="shared" si="5"/>
        <v>7.6962759188586485E-2</v>
      </c>
      <c r="W56" s="38" cm="1">
        <f t="array" ref="W56">_xll.DBR($A$6,C56,"Total Source",$E$1,$Y$6,$Y$5&amp;"-YTD","Amount")</f>
        <v>-240975258.68596864</v>
      </c>
      <c r="X56" s="39">
        <f t="shared" si="6"/>
        <v>-6781136.9140313864</v>
      </c>
      <c r="Y56" s="41">
        <f t="shared" si="14"/>
        <v>-1.9814574784708508E-2</v>
      </c>
      <c r="Z56" s="35">
        <f t="shared" si="7"/>
        <v>-2.8140386490334058E-2</v>
      </c>
      <c r="AA56" s="36" cm="1">
        <f t="array" ref="AA56">_xll.DBR($A$5,C56,$E$1,$AB$6,$AB$5&amp;"-YTD","Amount")</f>
        <v>-163981498.31184</v>
      </c>
      <c r="AB56" s="35">
        <f t="shared" si="15"/>
        <v>-1.7880633693310027E-2</v>
      </c>
    </row>
    <row r="57" spans="3:28">
      <c r="C57" s="25" t="s">
        <v>59</v>
      </c>
      <c r="D57" s="2" cm="1">
        <f t="array" ref="D57">_xll.DBR($A$5,C57,$E$1,$E$6,$E$5,"Amount")</f>
        <v>-31635.020000000004</v>
      </c>
      <c r="E57" s="5">
        <f t="shared" si="8"/>
        <v>0</v>
      </c>
      <c r="F57" s="2" cm="1">
        <f t="array" ref="F57">_xll.DBR($A$6,C57,"Total Source",$E$1,$H$6,$H$5,"Amount")</f>
        <v>-4499727.0575471725</v>
      </c>
      <c r="G57" s="6">
        <f t="shared" si="0"/>
        <v>4468092.037547173</v>
      </c>
      <c r="H57" s="26">
        <f t="shared" si="9"/>
        <v>-2.818368819611331E-3</v>
      </c>
      <c r="I57" s="27">
        <f t="shared" si="1"/>
        <v>0.99296956913265666</v>
      </c>
      <c r="J57" s="2" cm="1">
        <f t="array" ref="J57">_xll.DBR($A$6,C57,"Total Source",$E$1,$L$6,$L$5,"Amount")</f>
        <v>-3910740.4074882306</v>
      </c>
      <c r="K57" s="6">
        <f t="shared" si="2"/>
        <v>3879105.3874882306</v>
      </c>
      <c r="L57" s="26">
        <f t="shared" si="10"/>
        <v>-3.8932431767118502E-3</v>
      </c>
      <c r="M57" s="27">
        <f t="shared" si="3"/>
        <v>0.99191073384993145</v>
      </c>
      <c r="N57" s="2" cm="1">
        <f t="array" ref="N57">_xll.DBR($A$5,C57,$E$1,$O$6,$O$5,"Amount")</f>
        <v>-3020953.8952100002</v>
      </c>
      <c r="O57" s="5">
        <f t="shared" si="11"/>
        <v>-3.3503183635413035E-3</v>
      </c>
      <c r="P57" s="7"/>
      <c r="Q57" s="38" cm="1">
        <f t="array" ref="Q57">_xll.DBR($A$5,C57,$E$1,$R$6,$R$5&amp;"-YTD","Amount")</f>
        <v>-47854095.440000005</v>
      </c>
      <c r="R57" s="40">
        <f t="shared" si="12"/>
        <v>-4.2975244206382114E-3</v>
      </c>
      <c r="S57" s="38" cm="1">
        <f t="array" ref="S57">_xll.DBR($A$6,C57,"Total Source",$E$1,$U$6,$U$5&amp;"-YTD","Amount")</f>
        <v>-48589616.107313193</v>
      </c>
      <c r="T57" s="39">
        <f t="shared" si="4"/>
        <v>735520.66731318831</v>
      </c>
      <c r="U57" s="41">
        <f t="shared" si="13"/>
        <v>-3.2470706788996374E-3</v>
      </c>
      <c r="V57" s="35">
        <f t="shared" si="5"/>
        <v>1.5137404372340483E-2</v>
      </c>
      <c r="W57" s="38" cm="1">
        <f t="array" ref="W57">_xll.DBR($A$6,C57,"Total Source",$E$1,$Y$6,$Y$5&amp;"-YTD","Amount")</f>
        <v>-50743952.773580983</v>
      </c>
      <c r="X57" s="39">
        <f t="shared" si="6"/>
        <v>2889857.3335809782</v>
      </c>
      <c r="Y57" s="41">
        <f t="shared" si="14"/>
        <v>-4.1725024078680777E-3</v>
      </c>
      <c r="Z57" s="35">
        <f t="shared" si="7"/>
        <v>5.6949787622487612E-2</v>
      </c>
      <c r="AA57" s="36" cm="1">
        <f t="array" ref="AA57">_xll.DBR($A$5,C57,$E$1,$AB$6,$AB$5&amp;"-YTD","Amount")</f>
        <v>-26261476.949860003</v>
      </c>
      <c r="AB57" s="35">
        <f t="shared" si="15"/>
        <v>-2.8635660389733542E-3</v>
      </c>
    </row>
    <row r="58" spans="3:28">
      <c r="C58" s="25" t="s">
        <v>60</v>
      </c>
      <c r="D58" s="2" cm="1">
        <f t="array" ref="D58">_xll.DBR($A$5,C58,$E$1,$E$6,$E$5,"Amount")</f>
        <v>-37830249.559999995</v>
      </c>
      <c r="E58" s="5">
        <f t="shared" si="8"/>
        <v>0</v>
      </c>
      <c r="F58" s="2" cm="1">
        <f t="array" ref="F58">_xll.DBR($A$6,C58,"Total Source",$E$1,$H$6,$H$5,"Amount")</f>
        <v>-1838666.281242643</v>
      </c>
      <c r="G58" s="6">
        <f t="shared" si="0"/>
        <v>-35991583.278757349</v>
      </c>
      <c r="H58" s="26">
        <f t="shared" si="9"/>
        <v>-1.1516342325771519E-3</v>
      </c>
      <c r="I58" s="27">
        <f t="shared" si="1"/>
        <v>-19.5748318473719</v>
      </c>
      <c r="J58" s="2" cm="1">
        <f t="array" ref="J58">_xll.DBR($A$6,C58,"Total Source",$E$1,$L$6,$L$5,"Amount")</f>
        <v>-3051499.1782385921</v>
      </c>
      <c r="K58" s="6">
        <f t="shared" si="2"/>
        <v>-34778750.381761402</v>
      </c>
      <c r="L58" s="26">
        <f t="shared" si="10"/>
        <v>-3.0378463197585611E-3</v>
      </c>
      <c r="M58" s="27">
        <f t="shared" si="3"/>
        <v>-11.397266835194312</v>
      </c>
      <c r="N58" s="2" cm="1">
        <f t="array" ref="N58">_xll.DBR($A$5,C58,$E$1,$O$6,$O$5,"Amount")</f>
        <v>-868764.98871999909</v>
      </c>
      <c r="O58" s="5">
        <f t="shared" si="11"/>
        <v>-9.6348352085923997E-4</v>
      </c>
      <c r="P58" s="7"/>
      <c r="Q58" s="38" cm="1">
        <f t="array" ref="Q58">_xll.DBR($A$5,C58,$E$1,$R$6,$R$5&amp;"-YTD","Amount")</f>
        <v>-75249495.739999995</v>
      </c>
      <c r="R58" s="40">
        <f t="shared" si="12"/>
        <v>-6.7577611197107814E-3</v>
      </c>
      <c r="S58" s="38" cm="1">
        <f t="array" ref="S58">_xll.DBR($A$6,C58,"Total Source",$E$1,$U$6,$U$5&amp;"-YTD","Amount")</f>
        <v>-12623883.121807255</v>
      </c>
      <c r="T58" s="39">
        <f t="shared" si="4"/>
        <v>-62625612.61819274</v>
      </c>
      <c r="U58" s="41">
        <f t="shared" si="13"/>
        <v>-8.4360906758649775E-4</v>
      </c>
      <c r="V58" s="35">
        <f t="shared" si="5"/>
        <v>-4.9608834313436798</v>
      </c>
      <c r="W58" s="38" cm="1">
        <f t="array" ref="W58">_xll.DBR($A$6,C58,"Total Source",$E$1,$Y$6,$Y$5&amp;"-YTD","Amount")</f>
        <v>-36404988.660300851</v>
      </c>
      <c r="X58" s="39">
        <f t="shared" si="6"/>
        <v>-38844507.079699144</v>
      </c>
      <c r="Y58" s="41">
        <f t="shared" si="14"/>
        <v>-2.9934582258755293E-3</v>
      </c>
      <c r="Z58" s="35">
        <f t="shared" si="7"/>
        <v>-1.067010552926186</v>
      </c>
      <c r="AA58" s="36" cm="1">
        <f t="array" ref="AA58">_xll.DBR($A$5,C58,$E$1,$AB$6,$AB$5&amp;"-YTD","Amount")</f>
        <v>-11490843.596209999</v>
      </c>
      <c r="AB58" s="35">
        <f t="shared" si="15"/>
        <v>-1.2529679706927835E-3</v>
      </c>
    </row>
    <row r="59" spans="3:28">
      <c r="C59" s="22" t="s">
        <v>61</v>
      </c>
      <c r="D59" s="1" cm="1">
        <f t="array" ref="D59">_xll.DBR($A$5,C59,$E$1,$E$6,$E$5,"Amount")</f>
        <v>-496340313.35643619</v>
      </c>
      <c r="E59" s="3">
        <f t="shared" si="8"/>
        <v>0</v>
      </c>
      <c r="F59" s="1" cm="1">
        <f t="array" ref="F59">_xll.DBR($A$6,C59,"Total Source",$E$1,$H$6,$H$5,"Amount")</f>
        <v>77250859.944532663</v>
      </c>
      <c r="G59" s="4">
        <f t="shared" si="0"/>
        <v>-573591173.30096889</v>
      </c>
      <c r="H59" s="23">
        <f t="shared" si="9"/>
        <v>4.8385471423352061E-2</v>
      </c>
      <c r="I59" s="24">
        <f t="shared" si="1"/>
        <v>-7.4250458015977605</v>
      </c>
      <c r="J59" s="1" cm="1">
        <f t="array" ref="J59">_xll.DBR($A$6,C59,"Total Source",$E$1,$L$6,$L$5,"Amount")</f>
        <v>-88431759.048345178</v>
      </c>
      <c r="K59" s="4">
        <f t="shared" si="2"/>
        <v>-407908554.30809104</v>
      </c>
      <c r="L59" s="23">
        <f t="shared" si="10"/>
        <v>-8.8036102283946455E-2</v>
      </c>
      <c r="M59" s="24">
        <f t="shared" si="3"/>
        <v>-4.6126929815462514</v>
      </c>
      <c r="N59" s="1" cm="1">
        <f t="array" ref="N59">_xll.DBR($A$5,C59,$E$1,$O$6,$O$5,"Amount")</f>
        <v>-49150822.134660624</v>
      </c>
      <c r="O59" s="3">
        <f t="shared" si="11"/>
        <v>-5.4509571378102362E-2</v>
      </c>
      <c r="P59" s="11"/>
      <c r="Q59" s="44" cm="1">
        <f t="array" ref="Q59">_xll.DBR($A$5,C59,$E$1,$R$6,$R$5&amp;"-YTD","Amount")</f>
        <v>-1205421314.6489646</v>
      </c>
      <c r="R59" s="47">
        <f t="shared" si="12"/>
        <v>-0.10825254326156672</v>
      </c>
      <c r="S59" s="44" cm="1">
        <f t="array" ref="S59">_xll.DBR($A$6,C59,"Total Source",$E$1,$U$6,$U$5&amp;"-YTD","Amount")</f>
        <v>178320317.73415166</v>
      </c>
      <c r="T59" s="33">
        <f t="shared" si="4"/>
        <v>-1383741632.3831162</v>
      </c>
      <c r="U59" s="48">
        <f t="shared" si="13"/>
        <v>1.1916510595346794E-2</v>
      </c>
      <c r="V59" s="50">
        <f t="shared" si="5"/>
        <v>-7.7598652243658712</v>
      </c>
      <c r="W59" s="44" cm="1">
        <f t="array" ref="W59">_xll.DBR($A$6,C59,"Total Source",$E$1,$Y$6,$Y$5&amp;"-YTD","Amount")</f>
        <v>-751977634.57930458</v>
      </c>
      <c r="X59" s="33">
        <f t="shared" si="6"/>
        <v>-453443680.06966007</v>
      </c>
      <c r="Y59" s="48">
        <f t="shared" si="14"/>
        <v>-6.1832559732686913E-2</v>
      </c>
      <c r="Z59" s="50">
        <f t="shared" si="7"/>
        <v>-0.60300155113434994</v>
      </c>
      <c r="AA59" s="34" cm="1">
        <f t="array" ref="AA59">_xll.DBR($A$5,C59,$E$1,$AB$6,$AB$5&amp;"-YTD","Amount")</f>
        <v>30574588.019830428</v>
      </c>
      <c r="AB59" s="50">
        <f t="shared" si="15"/>
        <v>3.3338700666511721E-3</v>
      </c>
    </row>
    <row r="60" spans="3:28">
      <c r="C60" s="25" t="s">
        <v>62</v>
      </c>
      <c r="D60" s="2" cm="1">
        <f t="array" ref="D60">_xll.DBR($A$5,C60,$E$1,$E$6,$E$5,"Amount")</f>
        <v>0</v>
      </c>
      <c r="E60" s="5">
        <f t="shared" si="8"/>
        <v>0</v>
      </c>
      <c r="F60" s="2" cm="1">
        <f t="array" ref="F60">_xll.DBR($A$6,C60,"Total Source",$E$1,$H$6,$H$5,"Amount")</f>
        <v>0</v>
      </c>
      <c r="G60" s="6">
        <f t="shared" si="0"/>
        <v>0</v>
      </c>
      <c r="H60" s="26">
        <f t="shared" si="9"/>
        <v>0</v>
      </c>
      <c r="I60" s="27">
        <f t="shared" si="1"/>
        <v>0</v>
      </c>
      <c r="J60" s="2" cm="1">
        <f t="array" ref="J60">_xll.DBR($A$6,C60,"Total Source",$E$1,$L$6,$L$5,"Amount")</f>
        <v>0</v>
      </c>
      <c r="K60" s="6">
        <f t="shared" si="2"/>
        <v>0</v>
      </c>
      <c r="L60" s="26">
        <f t="shared" si="10"/>
        <v>0</v>
      </c>
      <c r="M60" s="27">
        <f t="shared" si="3"/>
        <v>0</v>
      </c>
      <c r="N60" s="2" cm="1">
        <f t="array" ref="N60">_xll.DBR($A$5,C60,$E$1,$O$6,$O$5,"Amount")</f>
        <v>-61006.249999999964</v>
      </c>
      <c r="O60" s="5">
        <f t="shared" si="11"/>
        <v>-6.7657556770353637E-5</v>
      </c>
      <c r="P60" s="7"/>
      <c r="Q60" s="38" cm="1">
        <f t="array" ref="Q60">_xll.DBR($A$5,C60,$E$1,$R$6,$R$5&amp;"-YTD","Amount")</f>
        <v>-25022714.010000005</v>
      </c>
      <c r="R60" s="40">
        <f t="shared" si="12"/>
        <v>-2.2471582325372845E-3</v>
      </c>
      <c r="S60" s="38" cm="1">
        <f t="array" ref="S60">_xll.DBR($A$6,C60,"Total Source",$E$1,$U$6,$U$5&amp;"-YTD","Amount")</f>
        <v>-3606290.4554486824</v>
      </c>
      <c r="T60" s="39">
        <f t="shared" si="4"/>
        <v>-21416423.554551322</v>
      </c>
      <c r="U60" s="41">
        <f t="shared" si="13"/>
        <v>-2.40995524056437E-4</v>
      </c>
      <c r="V60" s="35">
        <f t="shared" si="5"/>
        <v>-5.9386296858572818</v>
      </c>
      <c r="W60" s="38" cm="1">
        <f t="array" ref="W60">_xll.DBR($A$6,C60,"Total Source",$E$1,$Y$6,$Y$5&amp;"-YTD","Amount")</f>
        <v>-24994577.740000006</v>
      </c>
      <c r="X60" s="39">
        <f t="shared" si="6"/>
        <v>-28136.269999999553</v>
      </c>
      <c r="Y60" s="41">
        <f t="shared" si="14"/>
        <v>-2.0552189985895771E-3</v>
      </c>
      <c r="Z60" s="35">
        <f t="shared" si="7"/>
        <v>-1.125694952428492E-3</v>
      </c>
      <c r="AA60" s="36" cm="1">
        <f t="array" ref="AA60">_xll.DBR($A$5,C60,$E$1,$AB$6,$AB$5&amp;"-YTD","Amount")</f>
        <v>-31853613.429999996</v>
      </c>
      <c r="AB60" s="35">
        <f t="shared" si="15"/>
        <v>-3.4733357080748567E-3</v>
      </c>
    </row>
    <row r="61" spans="3:28">
      <c r="C61" s="25" t="s">
        <v>63</v>
      </c>
      <c r="D61" s="2" cm="1">
        <f t="array" ref="D61">_xll.DBR($A$5,C61,$E$1,$E$6,$E$5,"Amount")</f>
        <v>0</v>
      </c>
      <c r="E61" s="5">
        <f t="shared" si="8"/>
        <v>0</v>
      </c>
      <c r="F61" s="2" cm="1">
        <f t="array" ref="F61">_xll.DBR($A$6,C61,"Total Source",$E$1,$H$6,$H$5,"Amount")</f>
        <v>0</v>
      </c>
      <c r="G61" s="6">
        <f t="shared" si="0"/>
        <v>0</v>
      </c>
      <c r="H61" s="26">
        <f t="shared" si="9"/>
        <v>0</v>
      </c>
      <c r="I61" s="27">
        <f t="shared" si="1"/>
        <v>0</v>
      </c>
      <c r="J61" s="2" cm="1">
        <f t="array" ref="J61">_xll.DBR($A$6,C61,"Total Source",$E$1,$L$6,$L$5,"Amount")</f>
        <v>0</v>
      </c>
      <c r="K61" s="6">
        <f t="shared" si="2"/>
        <v>0</v>
      </c>
      <c r="L61" s="26">
        <f t="shared" si="10"/>
        <v>0</v>
      </c>
      <c r="M61" s="27">
        <f t="shared" si="3"/>
        <v>0</v>
      </c>
      <c r="N61" s="2" cm="1">
        <f t="array" ref="N61">_xll.DBR($A$5,C61,$E$1,$O$6,$O$5,"Amount")</f>
        <v>0</v>
      </c>
      <c r="O61" s="5">
        <f t="shared" si="11"/>
        <v>0</v>
      </c>
      <c r="P61" s="7"/>
      <c r="Q61" s="38" cm="1">
        <f t="array" ref="Q61">_xll.DBR($A$5,C61,$E$1,$R$6,$R$5&amp;"-YTD","Amount")</f>
        <v>0</v>
      </c>
      <c r="R61" s="40">
        <f t="shared" si="12"/>
        <v>0</v>
      </c>
      <c r="S61" s="38" cm="1">
        <f t="array" ref="S61">_xll.DBR($A$6,C61,"Total Source",$E$1,$U$6,$U$5&amp;"-YTD","Amount")</f>
        <v>0</v>
      </c>
      <c r="T61" s="39">
        <f t="shared" si="4"/>
        <v>0</v>
      </c>
      <c r="U61" s="41">
        <f t="shared" si="13"/>
        <v>0</v>
      </c>
      <c r="V61" s="35">
        <f t="shared" si="5"/>
        <v>0</v>
      </c>
      <c r="W61" s="38" cm="1">
        <f t="array" ref="W61">_xll.DBR($A$6,C61,"Total Source",$E$1,$Y$6,$Y$5&amp;"-YTD","Amount")</f>
        <v>0</v>
      </c>
      <c r="X61" s="39">
        <f t="shared" si="6"/>
        <v>0</v>
      </c>
      <c r="Y61" s="41">
        <f t="shared" si="14"/>
        <v>0</v>
      </c>
      <c r="Z61" s="35">
        <f t="shared" si="7"/>
        <v>0</v>
      </c>
      <c r="AA61" s="36" cm="1">
        <f t="array" ref="AA61">_xll.DBR($A$5,C61,$E$1,$AB$6,$AB$5&amp;"-YTD","Amount")</f>
        <v>0</v>
      </c>
      <c r="AB61" s="35">
        <f t="shared" si="15"/>
        <v>0</v>
      </c>
    </row>
    <row r="62" spans="3:28">
      <c r="C62" s="22" t="s">
        <v>64</v>
      </c>
      <c r="D62" s="1" cm="1">
        <f t="array" ref="D62">_xll.DBR($A$5,C62,$E$1,$E$6,$E$5,"Amount")</f>
        <v>-496340313.35643619</v>
      </c>
      <c r="E62" s="3">
        <f t="shared" si="8"/>
        <v>0</v>
      </c>
      <c r="F62" s="1" cm="1">
        <f t="array" ref="F62">_xll.DBR($A$6,C62,"Total Source",$E$1,$H$6,$H$5,"Amount")</f>
        <v>77250859.944532663</v>
      </c>
      <c r="G62" s="4">
        <f t="shared" si="0"/>
        <v>-573591173.30096889</v>
      </c>
      <c r="H62" s="23">
        <f t="shared" si="9"/>
        <v>4.8385471423352061E-2</v>
      </c>
      <c r="I62" s="24">
        <f t="shared" si="1"/>
        <v>-7.4250458015977605</v>
      </c>
      <c r="J62" s="1" cm="1">
        <f t="array" ref="J62">_xll.DBR($A$6,C62,"Total Source",$E$1,$L$6,$L$5,"Amount")</f>
        <v>-88431759.048345178</v>
      </c>
      <c r="K62" s="4">
        <f t="shared" si="2"/>
        <v>-407908554.30809104</v>
      </c>
      <c r="L62" s="23">
        <f t="shared" si="10"/>
        <v>-8.8036102283946455E-2</v>
      </c>
      <c r="M62" s="24">
        <f t="shared" si="3"/>
        <v>-4.6126929815462514</v>
      </c>
      <c r="N62" s="1" cm="1">
        <f t="array" ref="N62">_xll.DBR($A$5,C62,$E$1,$O$6,$O$5,"Amount")</f>
        <v>-49211828.384660631</v>
      </c>
      <c r="O62" s="3">
        <f t="shared" si="11"/>
        <v>-5.4577228934872719E-2</v>
      </c>
      <c r="P62" s="11"/>
      <c r="Q62" s="44" cm="1">
        <f t="array" ref="Q62">_xll.DBR($A$5,C62,$E$1,$R$6,$R$5&amp;"-YTD","Amount")</f>
        <v>-1230444028.6589649</v>
      </c>
      <c r="R62" s="47">
        <f t="shared" si="12"/>
        <v>-0.11049970149410401</v>
      </c>
      <c r="S62" s="44" cm="1">
        <f t="array" ref="S62">_xll.DBR($A$6,C62,"Total Source",$E$1,$U$6,$U$5&amp;"-YTD","Amount")</f>
        <v>174714027.27870291</v>
      </c>
      <c r="T62" s="33">
        <f t="shared" si="4"/>
        <v>-1405158055.9376678</v>
      </c>
      <c r="U62" s="48">
        <f t="shared" si="13"/>
        <v>1.1675515071290353E-2</v>
      </c>
      <c r="V62" s="50">
        <f t="shared" si="5"/>
        <v>-8.0426172862249174</v>
      </c>
      <c r="W62" s="44" cm="1">
        <f t="array" ref="W62">_xll.DBR($A$6,C62,"Total Source",$E$1,$Y$6,$Y$5&amp;"-YTD","Amount")</f>
        <v>-776972212.31930447</v>
      </c>
      <c r="X62" s="33">
        <f t="shared" si="6"/>
        <v>-453471816.33966041</v>
      </c>
      <c r="Y62" s="48">
        <f t="shared" si="14"/>
        <v>-6.388777873127649E-2</v>
      </c>
      <c r="Z62" s="50">
        <f t="shared" si="7"/>
        <v>-0.58363968382604348</v>
      </c>
      <c r="AA62" s="34" cm="1">
        <f t="array" ref="AA62">_xll.DBR($A$5,C62,$E$1,$AB$6,$AB$5&amp;"-YTD","Amount")</f>
        <v>-1279025.4101694897</v>
      </c>
      <c r="AB62" s="50">
        <f t="shared" si="15"/>
        <v>-1.3946564142367629E-4</v>
      </c>
    </row>
    <row r="63" spans="3:28">
      <c r="C63" s="25" t="s">
        <v>65</v>
      </c>
      <c r="D63" s="2" cm="1">
        <f t="array" ref="D63">_xll.DBR($A$5,C63,$E$1,$E$6,$E$5,"Amount")</f>
        <v>792879.44000000006</v>
      </c>
      <c r="E63" s="5">
        <f t="shared" si="8"/>
        <v>0</v>
      </c>
      <c r="F63" s="2" cm="1">
        <f t="array" ref="F63">_xll.DBR($A$6,C63,"Total Source",$E$1,$H$6,$H$5,"Amount")</f>
        <v>1083708.127686921</v>
      </c>
      <c r="G63" s="6">
        <f t="shared" si="0"/>
        <v>-290828.68768692098</v>
      </c>
      <c r="H63" s="26">
        <f t="shared" si="9"/>
        <v>6.7877210274551729E-4</v>
      </c>
      <c r="I63" s="27">
        <f t="shared" si="1"/>
        <v>-0.26836440574425613</v>
      </c>
      <c r="J63" s="2" cm="1">
        <f t="array" ref="J63">_xll.DBR($A$6,C63,"Total Source",$E$1,$L$6,$L$5,"Amount")</f>
        <v>2385215.4190374557</v>
      </c>
      <c r="K63" s="6">
        <f t="shared" si="2"/>
        <v>-1592335.9790374557</v>
      </c>
      <c r="L63" s="26">
        <f t="shared" si="10"/>
        <v>2.3745436126044934E-3</v>
      </c>
      <c r="M63" s="27">
        <f t="shared" si="3"/>
        <v>-0.66758581481920687</v>
      </c>
      <c r="N63" s="2" cm="1">
        <f t="array" ref="N63">_xll.DBR($A$5,C63,$E$1,$O$6,$O$5,"Amount")</f>
        <v>-1207801.7154400006</v>
      </c>
      <c r="O63" s="5">
        <f t="shared" si="11"/>
        <v>-1.3394842844743349E-3</v>
      </c>
      <c r="P63" s="7"/>
      <c r="Q63" s="38" cm="1">
        <f t="array" ref="Q63">_xll.DBR($A$5,C63,$E$1,$R$6,$R$5&amp;"-YTD","Amount")</f>
        <v>16169684.689999998</v>
      </c>
      <c r="R63" s="40">
        <f t="shared" si="12"/>
        <v>1.4521142692253298E-3</v>
      </c>
      <c r="S63" s="38" cm="1">
        <f t="array" ref="S63">_xll.DBR($A$6,C63,"Total Source",$E$1,$U$6,$U$5&amp;"-YTD","Amount")</f>
        <v>1558697.5661397488</v>
      </c>
      <c r="T63" s="39">
        <f t="shared" si="4"/>
        <v>14610987.123860249</v>
      </c>
      <c r="U63" s="41">
        <f t="shared" si="13"/>
        <v>1.0416219698271804E-4</v>
      </c>
      <c r="V63" s="35">
        <f t="shared" si="5"/>
        <v>9.3738435481397726</v>
      </c>
      <c r="W63" s="38" cm="1">
        <f t="array" ref="W63">_xll.DBR($A$6,C63,"Total Source",$E$1,$Y$6,$Y$5&amp;"-YTD","Amount")</f>
        <v>19558421.187332742</v>
      </c>
      <c r="X63" s="39">
        <f t="shared" si="6"/>
        <v>-3388736.4973327443</v>
      </c>
      <c r="Y63" s="41">
        <f t="shared" si="14"/>
        <v>1.6082223602559309E-3</v>
      </c>
      <c r="Z63" s="35">
        <f t="shared" si="7"/>
        <v>-0.17326227229054164</v>
      </c>
      <c r="AA63" s="36" cm="1">
        <f t="array" ref="AA63">_xll.DBR($A$5,C63,$E$1,$AB$6,$AB$5&amp;"-YTD","Amount")</f>
        <v>1530342.1745699982</v>
      </c>
      <c r="AB63" s="35">
        <f t="shared" si="15"/>
        <v>1.6686936105970385E-4</v>
      </c>
    </row>
    <row r="64" spans="3:28">
      <c r="C64" s="25" t="s">
        <v>66</v>
      </c>
      <c r="D64" s="2" cm="1">
        <f t="array" ref="D64">_xll.DBR($A$5,C64,$E$1,$E$6,$E$5,"Amount")</f>
        <v>161574280.20999998</v>
      </c>
      <c r="E64" s="5">
        <f t="shared" si="8"/>
        <v>0</v>
      </c>
      <c r="F64" s="2" cm="1">
        <f t="array" ref="F64">_xll.DBR($A$6,C64,"Total Source",$E$1,$H$6,$H$5,"Amount")</f>
        <v>1000000</v>
      </c>
      <c r="G64" s="6">
        <f t="shared" si="0"/>
        <v>160574280.20999998</v>
      </c>
      <c r="H64" s="26">
        <f t="shared" si="9"/>
        <v>6.2634217221780566E-4</v>
      </c>
      <c r="I64" s="27">
        <f t="shared" si="1"/>
        <v>160.57428020999998</v>
      </c>
      <c r="J64" s="2" cm="1">
        <f t="array" ref="J64">_xll.DBR($A$6,C64,"Total Source",$E$1,$L$6,$L$5,"Amount")</f>
        <v>1000000</v>
      </c>
      <c r="K64" s="6">
        <f t="shared" si="2"/>
        <v>160574280.20999998</v>
      </c>
      <c r="L64" s="26">
        <f t="shared" si="10"/>
        <v>9.9552585215247806E-4</v>
      </c>
      <c r="M64" s="27">
        <f t="shared" si="3"/>
        <v>160.57428020999998</v>
      </c>
      <c r="N64" s="2" cm="1">
        <f t="array" ref="N64">_xll.DBR($A$5,C64,$E$1,$O$6,$O$5,"Amount")</f>
        <v>6635693.6900000013</v>
      </c>
      <c r="O64" s="5">
        <f t="shared" si="11"/>
        <v>7.3591611112279924E-3</v>
      </c>
      <c r="P64" s="7"/>
      <c r="Q64" s="38" cm="1">
        <f t="array" ref="Q64">_xll.DBR($A$5,C64,$E$1,$R$6,$R$5&amp;"-YTD","Amount")</f>
        <v>150489303.38</v>
      </c>
      <c r="R64" s="40">
        <f t="shared" si="12"/>
        <v>1.3514652202156063E-2</v>
      </c>
      <c r="S64" s="38" cm="1">
        <f t="array" ref="S64">_xll.DBR($A$6,C64,"Total Source",$E$1,$U$6,$U$5&amp;"-YTD","Amount")</f>
        <v>11000000</v>
      </c>
      <c r="T64" s="39">
        <f t="shared" si="4"/>
        <v>139489303.38</v>
      </c>
      <c r="U64" s="41">
        <f t="shared" si="13"/>
        <v>7.3509075249763396E-4</v>
      </c>
      <c r="V64" s="35">
        <f t="shared" si="5"/>
        <v>12.680845761818182</v>
      </c>
      <c r="W64" s="38" cm="1">
        <f t="array" ref="W64">_xll.DBR($A$6,C64,"Total Source",$E$1,$Y$6,$Y$5&amp;"-YTD","Amount")</f>
        <v>-2247374.5900000017</v>
      </c>
      <c r="X64" s="39">
        <f t="shared" si="6"/>
        <v>152736677.97</v>
      </c>
      <c r="Y64" s="41">
        <f t="shared" si="14"/>
        <v>-1.8479395820813189E-4</v>
      </c>
      <c r="Z64" s="35">
        <f t="shared" si="7"/>
        <v>67.962269685535546</v>
      </c>
      <c r="AA64" s="36" cm="1">
        <f t="array" ref="AA64">_xll.DBR($A$5,C64,$E$1,$AB$6,$AB$5&amp;"-YTD","Amount")</f>
        <v>19542714.639999989</v>
      </c>
      <c r="AB64" s="35">
        <f t="shared" si="15"/>
        <v>2.1309484633822043E-3</v>
      </c>
    </row>
    <row r="65" spans="3:28">
      <c r="C65" s="22" t="s">
        <v>67</v>
      </c>
      <c r="D65" s="1" cm="1">
        <f t="array" ref="D65">_xll.DBR($A$5,C65,$E$1,$E$6,$E$5,"Amount")</f>
        <v>-333973153.70643586</v>
      </c>
      <c r="E65" s="3">
        <f t="shared" si="8"/>
        <v>0</v>
      </c>
      <c r="F65" s="1" cm="1">
        <f t="array" ref="F65">_xll.DBR($A$6,C65,"Total Source",$E$1,$H$6,$H$5,"Amount")</f>
        <v>79334568.07221958</v>
      </c>
      <c r="G65" s="4">
        <f t="shared" si="0"/>
        <v>-413307721.77865541</v>
      </c>
      <c r="H65" s="23">
        <f t="shared" si="9"/>
        <v>4.9690585698315387E-2</v>
      </c>
      <c r="I65" s="24">
        <f t="shared" si="1"/>
        <v>-5.2096801157651038</v>
      </c>
      <c r="J65" s="1" cm="1">
        <f t="array" ref="J65">_xll.DBR($A$6,C65,"Total Source",$E$1,$L$6,$L$5,"Amount")</f>
        <v>-85046543.629307717</v>
      </c>
      <c r="K65" s="4">
        <f t="shared" si="2"/>
        <v>-248926610.07712814</v>
      </c>
      <c r="L65" s="23">
        <f t="shared" si="10"/>
        <v>-8.4666032819189482E-2</v>
      </c>
      <c r="M65" s="24">
        <f t="shared" si="3"/>
        <v>-2.9269456400500449</v>
      </c>
      <c r="N65" s="1" cm="1">
        <f t="array" ref="N65">_xll.DBR($A$5,C65,$E$1,$O$6,$O$5,"Amount")</f>
        <v>-43783936.410100766</v>
      </c>
      <c r="O65" s="3">
        <f t="shared" si="11"/>
        <v>-4.8557552108119212E-2</v>
      </c>
      <c r="P65" s="11"/>
      <c r="Q65" s="44" cm="1">
        <f t="array" ref="Q65">_xll.DBR($A$5,C65,$E$1,$R$6,$R$5&amp;"-YTD","Amount")</f>
        <v>-1063785040.5889642</v>
      </c>
      <c r="R65" s="47">
        <f t="shared" si="12"/>
        <v>-9.5532935022722559E-2</v>
      </c>
      <c r="S65" s="44" cm="1">
        <f t="array" ref="S65">_xll.DBR($A$6,C65,"Total Source",$E$1,$U$6,$U$5&amp;"-YTD","Amount")</f>
        <v>187272724.84484273</v>
      </c>
      <c r="T65" s="33">
        <f t="shared" si="4"/>
        <v>-1251057765.4338069</v>
      </c>
      <c r="U65" s="48">
        <f t="shared" si="13"/>
        <v>1.2514768020770709E-2</v>
      </c>
      <c r="V65" s="50">
        <f t="shared" si="5"/>
        <v>-6.6804056301862449</v>
      </c>
      <c r="W65" s="44" cm="1">
        <f t="array" ref="W65">_xll.DBR($A$6,C65,"Total Source",$E$1,$Y$6,$Y$5&amp;"-YTD","Amount")</f>
        <v>-759661165.72197175</v>
      </c>
      <c r="X65" s="33">
        <f t="shared" si="6"/>
        <v>-304123874.86699247</v>
      </c>
      <c r="Y65" s="48">
        <f t="shared" si="14"/>
        <v>-6.2464350329228688E-2</v>
      </c>
      <c r="Z65" s="50">
        <f t="shared" si="7"/>
        <v>-0.4003414793198718</v>
      </c>
      <c r="AA65" s="34" cm="1">
        <f t="array" ref="AA65">_xll.DBR($A$5,C65,$E$1,$AB$6,$AB$5&amp;"-YTD","Amount")</f>
        <v>19794031.404399842</v>
      </c>
      <c r="AB65" s="50">
        <f t="shared" si="15"/>
        <v>2.1583521830181602E-3</v>
      </c>
    </row>
    <row r="66" spans="3:28">
      <c r="C66" s="25" t="s">
        <v>68</v>
      </c>
      <c r="D66" s="2" cm="1">
        <f t="array" ref="D66">_xll.DBR($A$5,C66,$E$1,$E$6,$E$5,"Amount")</f>
        <v>0</v>
      </c>
      <c r="E66" s="5">
        <f t="shared" si="8"/>
        <v>0</v>
      </c>
      <c r="F66" s="2" cm="1">
        <f t="array" ref="F66">_xll.DBR($A$6,C66,"Total Source",$E$1,$H$6,$H$5,"Amount")</f>
        <v>0</v>
      </c>
      <c r="G66" s="6">
        <f t="shared" si="0"/>
        <v>0</v>
      </c>
      <c r="H66" s="26">
        <f t="shared" si="9"/>
        <v>0</v>
      </c>
      <c r="I66" s="27">
        <f t="shared" si="1"/>
        <v>0</v>
      </c>
      <c r="J66" s="2" cm="1">
        <f t="array" ref="J66">_xll.DBR($A$6,C66,"Total Source",$E$1,$L$6,$L$5,"Amount")</f>
        <v>36986301</v>
      </c>
      <c r="K66" s="6">
        <f t="shared" si="2"/>
        <v>-36986301</v>
      </c>
      <c r="L66" s="26">
        <f t="shared" si="10"/>
        <v>3.6820818820993056E-2</v>
      </c>
      <c r="M66" s="27">
        <f t="shared" si="3"/>
        <v>-1</v>
      </c>
      <c r="N66" s="2" cm="1">
        <f t="array" ref="N66">_xll.DBR($A$5,C66,$E$1,$O$6,$O$5,"Amount")</f>
        <v>1810923.8399999999</v>
      </c>
      <c r="O66" s="5">
        <f t="shared" si="11"/>
        <v>2.0083627908876033E-3</v>
      </c>
      <c r="P66" s="7"/>
      <c r="Q66" s="38" cm="1">
        <f t="array" ref="Q66">_xll.DBR($A$5,C66,$E$1,$R$6,$R$5&amp;"-YTD","Amount")</f>
        <v>58917984.819999993</v>
      </c>
      <c r="R66" s="40">
        <f t="shared" si="12"/>
        <v>5.2911140885780238E-3</v>
      </c>
      <c r="S66" s="38" cm="1">
        <f t="array" ref="S66">_xll.DBR($A$6,C66,"Total Source",$E$1,$U$6,$U$5&amp;"-YTD","Amount")</f>
        <v>0</v>
      </c>
      <c r="T66" s="39">
        <f t="shared" si="4"/>
        <v>58917984.819999993</v>
      </c>
      <c r="U66" s="41">
        <f t="shared" si="13"/>
        <v>0</v>
      </c>
      <c r="V66" s="35">
        <f t="shared" si="5"/>
        <v>0</v>
      </c>
      <c r="W66" s="38" cm="1">
        <f t="array" ref="W66">_xll.DBR($A$6,C66,"Total Source",$E$1,$Y$6,$Y$5&amp;"-YTD","Amount")</f>
        <v>79797392.170000002</v>
      </c>
      <c r="X66" s="39">
        <f t="shared" si="6"/>
        <v>-20879407.350000009</v>
      </c>
      <c r="Y66" s="41">
        <f t="shared" si="14"/>
        <v>6.5614677763980948E-3</v>
      </c>
      <c r="Z66" s="35">
        <f t="shared" si="7"/>
        <v>-0.26165525942901258</v>
      </c>
      <c r="AA66" s="36" cm="1">
        <f t="array" ref="AA66">_xll.DBR($A$5,C66,$E$1,$AB$6,$AB$5&amp;"-YTD","Amount")</f>
        <v>3938823.45</v>
      </c>
      <c r="AB66" s="35">
        <f t="shared" si="15"/>
        <v>4.2949149762089024E-4</v>
      </c>
    </row>
    <row r="67" spans="3:28">
      <c r="C67" s="25" t="s">
        <v>69</v>
      </c>
      <c r="D67" s="2" cm="1">
        <f t="array" ref="D67">_xll.DBR($A$5,C67,$E$1,$E$6,$E$5,"Amount")</f>
        <v>0</v>
      </c>
      <c r="E67" s="5">
        <f t="shared" si="8"/>
        <v>0</v>
      </c>
      <c r="F67" s="2" cm="1">
        <f t="array" ref="F67">_xll.DBR($A$6,C67,"Total Source",$E$1,$H$6,$H$5,"Amount")</f>
        <v>0</v>
      </c>
      <c r="G67" s="6">
        <f t="shared" si="0"/>
        <v>0</v>
      </c>
      <c r="H67" s="26">
        <f t="shared" si="9"/>
        <v>0</v>
      </c>
      <c r="I67" s="27">
        <f t="shared" si="1"/>
        <v>0</v>
      </c>
      <c r="J67" s="2" cm="1">
        <f t="array" ref="J67">_xll.DBR($A$6,C67,"Total Source",$E$1,$L$6,$L$5,"Amount")</f>
        <v>-1924414.078125</v>
      </c>
      <c r="K67" s="6">
        <f t="shared" si="2"/>
        <v>1924414.078125</v>
      </c>
      <c r="L67" s="26">
        <f t="shared" si="10"/>
        <v>-1.9158039650196163E-3</v>
      </c>
      <c r="M67" s="27">
        <f t="shared" si="3"/>
        <v>1</v>
      </c>
      <c r="N67" s="2" cm="1">
        <f t="array" ref="N67">_xll.DBR($A$5,C67,$E$1,$O$6,$O$5,"Amount")</f>
        <v>-16623435.41</v>
      </c>
      <c r="O67" s="5">
        <f t="shared" si="11"/>
        <v>-1.8435832803530498E-2</v>
      </c>
      <c r="P67" s="7"/>
      <c r="Q67" s="38" cm="1">
        <f t="array" ref="Q67">_xll.DBR($A$5,C67,$E$1,$R$6,$R$5&amp;"-YTD","Amount")</f>
        <v>-20333202.220000003</v>
      </c>
      <c r="R67" s="40">
        <f t="shared" si="12"/>
        <v>-1.8260178629807384E-3</v>
      </c>
      <c r="S67" s="38" cm="1">
        <f t="array" ref="S67">_xll.DBR($A$6,C67,"Total Source",$E$1,$U$6,$U$5&amp;"-YTD","Amount")</f>
        <v>-14175000</v>
      </c>
      <c r="T67" s="39">
        <f t="shared" si="4"/>
        <v>-6158202.2200000025</v>
      </c>
      <c r="U67" s="41">
        <f t="shared" si="13"/>
        <v>-9.4726467424126922E-4</v>
      </c>
      <c r="V67" s="35">
        <f t="shared" si="5"/>
        <v>-0.43444107372134055</v>
      </c>
      <c r="W67" s="38" cm="1">
        <f t="array" ref="W67">_xll.DBR($A$6,C67,"Total Source",$E$1,$Y$6,$Y$5&amp;"-YTD","Amount")</f>
        <v>-22361727.2925</v>
      </c>
      <c r="X67" s="39">
        <f t="shared" si="6"/>
        <v>2028525.0724999979</v>
      </c>
      <c r="Y67" s="41">
        <f t="shared" si="14"/>
        <v>-1.8387286735104911E-3</v>
      </c>
      <c r="Z67" s="35">
        <f t="shared" si="7"/>
        <v>9.0714149491499876E-2</v>
      </c>
      <c r="AA67" s="36" cm="1">
        <f t="array" ref="AA67">_xll.DBR($A$5,C67,$E$1,$AB$6,$AB$5&amp;"-YTD","Amount")</f>
        <v>-104740862.71999998</v>
      </c>
      <c r="AB67" s="35">
        <f t="shared" si="15"/>
        <v>-1.1421001870930992E-2</v>
      </c>
    </row>
    <row r="68" spans="3:28">
      <c r="C68" s="25" t="s">
        <v>70</v>
      </c>
      <c r="D68" s="2" cm="1">
        <f t="array" ref="D68">_xll.DBR($A$5,C68,$E$1,$E$6,$E$5,"Amount")</f>
        <v>0</v>
      </c>
      <c r="E68" s="5">
        <f t="shared" si="8"/>
        <v>0</v>
      </c>
      <c r="F68" s="2" cm="1">
        <f t="array" ref="F68">_xll.DBR($A$6,C68,"Total Source",$E$1,$H$6,$H$5,"Amount")</f>
        <v>0</v>
      </c>
      <c r="G68" s="6">
        <f t="shared" si="0"/>
        <v>0</v>
      </c>
      <c r="H68" s="26">
        <f t="shared" si="9"/>
        <v>0</v>
      </c>
      <c r="I68" s="27">
        <f t="shared" si="1"/>
        <v>0</v>
      </c>
      <c r="J68" s="2" cm="1">
        <f t="array" ref="J68">_xll.DBR($A$6,C68,"Total Source",$E$1,$L$6,$L$5,"Amount")</f>
        <v>-2580300</v>
      </c>
      <c r="K68" s="6">
        <f t="shared" si="2"/>
        <v>2580300</v>
      </c>
      <c r="L68" s="26">
        <f t="shared" si="10"/>
        <v>-2.5687553563090394E-3</v>
      </c>
      <c r="M68" s="27">
        <f t="shared" si="3"/>
        <v>1</v>
      </c>
      <c r="N68" s="2" cm="1">
        <f t="array" ref="N68">_xll.DBR($A$5,C68,$E$1,$O$6,$O$5,"Amount")</f>
        <v>-4363999.6659900025</v>
      </c>
      <c r="O68" s="5">
        <f t="shared" si="11"/>
        <v>-4.8397919089851133E-3</v>
      </c>
      <c r="P68" s="7"/>
      <c r="Q68" s="38" cm="1">
        <f t="array" ref="Q68">_xll.DBR($A$5,C68,$E$1,$R$6,$R$5&amp;"-YTD","Amount")</f>
        <v>-38242715.889999956</v>
      </c>
      <c r="R68" s="40">
        <f t="shared" si="12"/>
        <v>-3.434377014917488E-3</v>
      </c>
      <c r="S68" s="38" cm="1">
        <f t="array" ref="S68">_xll.DBR($A$6,C68,"Total Source",$E$1,$U$6,$U$5&amp;"-YTD","Amount")</f>
        <v>0</v>
      </c>
      <c r="T68" s="39">
        <f t="shared" si="4"/>
        <v>-38242715.889999956</v>
      </c>
      <c r="U68" s="41">
        <f t="shared" si="13"/>
        <v>0</v>
      </c>
      <c r="V68" s="35">
        <f t="shared" si="5"/>
        <v>0</v>
      </c>
      <c r="W68" s="38" cm="1">
        <f t="array" ref="W68">_xll.DBR($A$6,C68,"Total Source",$E$1,$Y$6,$Y$5&amp;"-YTD","Amount")</f>
        <v>-41735776.634229966</v>
      </c>
      <c r="X68" s="39">
        <f t="shared" si="6"/>
        <v>3493060.7442300096</v>
      </c>
      <c r="Y68" s="41">
        <f t="shared" si="14"/>
        <v>-3.4317907648541194E-3</v>
      </c>
      <c r="Z68" s="35">
        <f t="shared" si="7"/>
        <v>8.3694638651222439E-2</v>
      </c>
      <c r="AA68" s="36" cm="1">
        <f t="array" ref="AA68">_xll.DBR($A$5,C68,$E$1,$AB$6,$AB$5&amp;"-YTD","Amount")</f>
        <v>-33754978.738560058</v>
      </c>
      <c r="AB68" s="35">
        <f t="shared" si="15"/>
        <v>-3.6806616378262567E-3</v>
      </c>
    </row>
    <row r="69" spans="3:28">
      <c r="C69" s="25" t="s">
        <v>71</v>
      </c>
      <c r="D69" s="2" cm="1">
        <f t="array" ref="D69">_xll.DBR($A$5,C69,$E$1,$E$6,$E$5,"Amount")</f>
        <v>0</v>
      </c>
      <c r="E69" s="5">
        <f t="shared" si="8"/>
        <v>0</v>
      </c>
      <c r="F69" s="2" cm="1">
        <f t="array" ref="F69">_xll.DBR($A$6,C69,"Total Source",$E$1,$H$6,$H$5,"Amount")</f>
        <v>0</v>
      </c>
      <c r="G69" s="6">
        <f t="shared" si="0"/>
        <v>0</v>
      </c>
      <c r="H69" s="26">
        <f t="shared" si="9"/>
        <v>0</v>
      </c>
      <c r="I69" s="27">
        <f t="shared" si="1"/>
        <v>0</v>
      </c>
      <c r="J69" s="2" cm="1">
        <f t="array" ref="J69">_xll.DBR($A$6,C69,"Total Source",$E$1,$L$6,$L$5,"Amount")</f>
        <v>0</v>
      </c>
      <c r="K69" s="6">
        <f t="shared" si="2"/>
        <v>0</v>
      </c>
      <c r="L69" s="26">
        <f t="shared" si="10"/>
        <v>0</v>
      </c>
      <c r="M69" s="27">
        <f t="shared" si="3"/>
        <v>0</v>
      </c>
      <c r="N69" s="2" cm="1">
        <f t="array" ref="N69">_xll.DBR($A$5,C69,$E$1,$O$6,$O$5,"Amount")</f>
        <v>0</v>
      </c>
      <c r="O69" s="5">
        <f t="shared" si="11"/>
        <v>0</v>
      </c>
      <c r="P69" s="7"/>
      <c r="Q69" s="38" cm="1">
        <f t="array" ref="Q69">_xll.DBR($A$5,C69,$E$1,$R$6,$R$5&amp;"-YTD","Amount")</f>
        <v>0</v>
      </c>
      <c r="R69" s="40">
        <f t="shared" si="12"/>
        <v>0</v>
      </c>
      <c r="S69" s="38" cm="1">
        <f t="array" ref="S69">_xll.DBR($A$6,C69,"Total Source",$E$1,$U$6,$U$5&amp;"-YTD","Amount")</f>
        <v>0</v>
      </c>
      <c r="T69" s="39">
        <f t="shared" si="4"/>
        <v>0</v>
      </c>
      <c r="U69" s="41">
        <f t="shared" si="13"/>
        <v>0</v>
      </c>
      <c r="V69" s="35">
        <f t="shared" si="5"/>
        <v>0</v>
      </c>
      <c r="W69" s="38" cm="1">
        <f t="array" ref="W69">_xll.DBR($A$6,C69,"Total Source",$E$1,$Y$6,$Y$5&amp;"-YTD","Amount")</f>
        <v>0</v>
      </c>
      <c r="X69" s="39">
        <f t="shared" si="6"/>
        <v>0</v>
      </c>
      <c r="Y69" s="41">
        <f t="shared" si="14"/>
        <v>0</v>
      </c>
      <c r="Z69" s="35">
        <f t="shared" si="7"/>
        <v>0</v>
      </c>
      <c r="AA69" s="36" cm="1">
        <f t="array" ref="AA69">_xll.DBR($A$5,C69,$E$1,$AB$6,$AB$5&amp;"-YTD","Amount")</f>
        <v>0</v>
      </c>
      <c r="AB69" s="35">
        <f t="shared" si="15"/>
        <v>0</v>
      </c>
    </row>
    <row r="70" spans="3:28">
      <c r="C70" s="85" t="s">
        <v>72</v>
      </c>
      <c r="D70" s="2" cm="1">
        <f t="array" ref="D70">_xll.DBR($A$5,C70,$E$1,$E$6,$E$5,"Amount")</f>
        <v>0</v>
      </c>
      <c r="E70" s="5">
        <f t="shared" si="8"/>
        <v>0</v>
      </c>
      <c r="F70" s="2" cm="1">
        <f t="array" ref="F70">_xll.DBR($A$6,C70,"Total Source",$E$1,$H$6,$H$5,"Amount")</f>
        <v>1500000</v>
      </c>
      <c r="G70" s="6">
        <f t="shared" si="0"/>
        <v>-1500000</v>
      </c>
      <c r="H70" s="26">
        <f t="shared" si="9"/>
        <v>9.3951325832670855E-4</v>
      </c>
      <c r="I70" s="27">
        <f t="shared" si="1"/>
        <v>-1</v>
      </c>
      <c r="J70" s="2" cm="1">
        <f t="array" ref="J70">_xll.DBR($A$6,C70,"Total Source",$E$1,$L$6,$L$5,"Amount")</f>
        <v>-14876930</v>
      </c>
      <c r="K70" s="6">
        <f t="shared" si="2"/>
        <v>14876930</v>
      </c>
      <c r="L70" s="26">
        <f t="shared" si="10"/>
        <v>-1.4810368415662767E-2</v>
      </c>
      <c r="M70" s="27">
        <f t="shared" si="3"/>
        <v>1</v>
      </c>
      <c r="N70" s="2" cm="1">
        <f t="array" ref="N70">_xll.DBR($A$5,C70,$E$1,$O$6,$O$5,"Amount")</f>
        <v>-5758847.6014285702</v>
      </c>
      <c r="O70" s="5">
        <f t="shared" si="11"/>
        <v>-6.3867154353114408E-3</v>
      </c>
      <c r="P70" s="7"/>
      <c r="Q70" s="38" cm="1">
        <f t="array" ref="Q70">_xll.DBR($A$5,C70,$E$1,$R$6,$R$5&amp;"-YTD","Amount")</f>
        <v>-132022983.06999996</v>
      </c>
      <c r="R70" s="40">
        <f t="shared" si="12"/>
        <v>-1.1856289176758284E-2</v>
      </c>
      <c r="S70" s="38" cm="1">
        <f t="array" ref="S70">_xll.DBR($A$6,C70,"Total Source",$E$1,$U$6,$U$5&amp;"-YTD","Amount")</f>
        <v>13500000</v>
      </c>
      <c r="T70" s="39">
        <f t="shared" si="4"/>
        <v>-145522983.06999996</v>
      </c>
      <c r="U70" s="41">
        <f t="shared" si="13"/>
        <v>9.0215683261073262E-4</v>
      </c>
      <c r="V70" s="35">
        <f t="shared" si="5"/>
        <v>-10.779480227407404</v>
      </c>
      <c r="W70" s="38" cm="1">
        <f t="array" ref="W70">_xll.DBR($A$6,C70,"Total Source",$E$1,$Y$6,$Y$5&amp;"-YTD","Amount")</f>
        <v>-162894858.78999993</v>
      </c>
      <c r="X70" s="39">
        <f t="shared" si="6"/>
        <v>30871875.719999969</v>
      </c>
      <c r="Y70" s="41">
        <f t="shared" si="14"/>
        <v>-1.339428943510426E-2</v>
      </c>
      <c r="Z70" s="35">
        <f t="shared" si="7"/>
        <v>0.1895202583391489</v>
      </c>
      <c r="AA70" s="36" cm="1">
        <f t="array" ref="AA70">_xll.DBR($A$5,C70,$E$1,$AB$6,$AB$5&amp;"-YTD","Amount")</f>
        <v>-23937830.681428567</v>
      </c>
      <c r="AB70" s="35">
        <f t="shared" si="15"/>
        <v>-2.6101943587144151E-3</v>
      </c>
    </row>
    <row r="71" spans="3:28">
      <c r="C71" s="22" t="s">
        <v>73</v>
      </c>
      <c r="D71" s="1" cm="1">
        <f t="array" ref="D71">_xll.DBR($A$5,C71,$E$1,$E$6,$E$5,"Amount")</f>
        <v>0</v>
      </c>
      <c r="E71" s="3">
        <f t="shared" si="8"/>
        <v>0</v>
      </c>
      <c r="F71" s="1" cm="1">
        <f t="array" ref="F71">_xll.DBR($A$6,C71,"Total Source",$E$1,$H$6,$H$5,"Amount")</f>
        <v>1500000</v>
      </c>
      <c r="G71" s="4">
        <f t="shared" si="0"/>
        <v>-1500000</v>
      </c>
      <c r="H71" s="23">
        <f t="shared" si="9"/>
        <v>9.3951325832670855E-4</v>
      </c>
      <c r="I71" s="24">
        <f t="shared" si="1"/>
        <v>-1</v>
      </c>
      <c r="J71" s="1" cm="1">
        <f t="array" ref="J71">_xll.DBR($A$6,C71,"Total Source",$E$1,$L$6,$L$5,"Amount")</f>
        <v>17604656.921875</v>
      </c>
      <c r="K71" s="4">
        <f t="shared" si="2"/>
        <v>-17604656.921875</v>
      </c>
      <c r="L71" s="23">
        <f t="shared" si="10"/>
        <v>1.752589108400163E-2</v>
      </c>
      <c r="M71" s="24">
        <f t="shared" si="3"/>
        <v>-1</v>
      </c>
      <c r="N71" s="1" cm="1">
        <f t="array" ref="N71">_xll.DBR($A$5,C71,$E$1,$O$6,$O$5,"Amount")</f>
        <v>-24935358.837418575</v>
      </c>
      <c r="O71" s="3">
        <f t="shared" si="11"/>
        <v>-2.765397735693945E-2</v>
      </c>
      <c r="P71" s="11"/>
      <c r="Q71" s="44" cm="1">
        <f t="array" ref="Q71">_xll.DBR($A$5,C71,$E$1,$R$6,$R$5&amp;"-YTD","Amount")</f>
        <v>-131680916.35999991</v>
      </c>
      <c r="R71" s="47">
        <f t="shared" si="12"/>
        <v>-1.1825569966078484E-2</v>
      </c>
      <c r="S71" s="44" cm="1">
        <f t="array" ref="S71">_xll.DBR($A$6,C71,"Total Source",$E$1,$U$6,$U$5&amp;"-YTD","Amount")</f>
        <v>-675000</v>
      </c>
      <c r="T71" s="33">
        <f t="shared" si="4"/>
        <v>-131005916.35999991</v>
      </c>
      <c r="U71" s="48">
        <f t="shared" si="13"/>
        <v>-4.5107841630536633E-5</v>
      </c>
      <c r="V71" s="50">
        <f t="shared" si="5"/>
        <v>-194.08283905185172</v>
      </c>
      <c r="W71" s="44" cm="1">
        <f t="array" ref="W71">_xll.DBR($A$6,C71,"Total Source",$E$1,$Y$6,$Y$5&amp;"-YTD","Amount")</f>
        <v>-147194970.54672989</v>
      </c>
      <c r="X71" s="33">
        <f t="shared" si="6"/>
        <v>15514054.186729982</v>
      </c>
      <c r="Y71" s="48">
        <f t="shared" si="14"/>
        <v>-1.2103341097070777E-2</v>
      </c>
      <c r="Z71" s="50">
        <f t="shared" si="7"/>
        <v>0.10539799103940678</v>
      </c>
      <c r="AA71" s="34" cm="1">
        <f t="array" ref="AA71">_xll.DBR($A$5,C71,$E$1,$AB$6,$AB$5&amp;"-YTD","Amount")</f>
        <v>-158494848.68998864</v>
      </c>
      <c r="AB71" s="50">
        <f t="shared" si="15"/>
        <v>-1.7282366369850775E-2</v>
      </c>
    </row>
    <row r="72" spans="3:28">
      <c r="C72" s="22" t="s">
        <v>74</v>
      </c>
      <c r="D72" s="1" cm="1">
        <f t="array" ref="D72">_xll.DBR($A$5,C72,$E$1,$E$6,$E$5,"Amount")</f>
        <v>-333973153.70643586</v>
      </c>
      <c r="E72" s="3">
        <f t="shared" si="8"/>
        <v>0</v>
      </c>
      <c r="F72" s="1" cm="1">
        <f t="array" ref="F72">_xll.DBR($A$6,C72,"Total Source",$E$1,$H$6,$H$5,"Amount")</f>
        <v>80834568.07221958</v>
      </c>
      <c r="G72" s="4">
        <f t="shared" si="0"/>
        <v>-414807721.77865541</v>
      </c>
      <c r="H72" s="23">
        <f t="shared" si="9"/>
        <v>5.063009895664209E-2</v>
      </c>
      <c r="I72" s="24">
        <f t="shared" si="1"/>
        <v>-5.1315635336611933</v>
      </c>
      <c r="J72" s="1" cm="1">
        <f t="array" ref="J72">_xll.DBR($A$6,C72,"Total Source",$E$1,$L$6,$L$5,"Amount")</f>
        <v>-67441886.707432717</v>
      </c>
      <c r="K72" s="4">
        <f t="shared" si="2"/>
        <v>-266531266.99900314</v>
      </c>
      <c r="L72" s="23">
        <f t="shared" si="10"/>
        <v>-6.7140141735187842E-2</v>
      </c>
      <c r="M72" s="24">
        <f t="shared" si="3"/>
        <v>-3.9520138004921641</v>
      </c>
      <c r="N72" s="1" cm="1">
        <f t="array" ref="N72">_xll.DBR($A$5,C72,$E$1,$O$6,$O$5,"Amount")</f>
        <v>-68719295.247519299</v>
      </c>
      <c r="O72" s="3">
        <f t="shared" si="11"/>
        <v>-7.6211529465058617E-2</v>
      </c>
      <c r="P72" s="11"/>
      <c r="Q72" s="44" cm="1">
        <f t="array" ref="Q72">_xll.DBR($A$5,C72,$E$1,$R$6,$R$5&amp;"-YTD","Amount")</f>
        <v>-1195465956.9489644</v>
      </c>
      <c r="R72" s="47">
        <f t="shared" si="12"/>
        <v>-0.10735850498880108</v>
      </c>
      <c r="S72" s="44" cm="1">
        <f t="array" ref="S72">_xll.DBR($A$6,C72,"Total Source",$E$1,$U$6,$U$5&amp;"-YTD","Amount")</f>
        <v>186597724.84484273</v>
      </c>
      <c r="T72" s="33">
        <f t="shared" si="4"/>
        <v>-1382063681.793807</v>
      </c>
      <c r="U72" s="48">
        <f t="shared" si="13"/>
        <v>1.2469660179140172E-2</v>
      </c>
      <c r="V72" s="50">
        <f t="shared" si="5"/>
        <v>-7.4066480871779241</v>
      </c>
      <c r="W72" s="44" cm="1">
        <f t="array" ref="W72">_xll.DBR($A$6,C72,"Total Source",$E$1,$Y$6,$Y$5&amp;"-YTD","Amount")</f>
        <v>-906856136.26870167</v>
      </c>
      <c r="X72" s="33">
        <f t="shared" si="6"/>
        <v>-288609820.68026268</v>
      </c>
      <c r="Y72" s="48">
        <f t="shared" si="14"/>
        <v>-7.4567691426299459E-2</v>
      </c>
      <c r="Z72" s="50">
        <f t="shared" si="7"/>
        <v>-0.31825314858403025</v>
      </c>
      <c r="AA72" s="34" cm="1">
        <f t="array" ref="AA72">_xll.DBR($A$5,C72,$E$1,$AB$6,$AB$5&amp;"-YTD","Amount")</f>
        <v>-138700817.28558844</v>
      </c>
      <c r="AB72" s="50">
        <f t="shared" si="15"/>
        <v>-1.5124014186832577E-2</v>
      </c>
    </row>
    <row r="73" spans="3:28">
      <c r="C73" s="25" t="s">
        <v>75</v>
      </c>
      <c r="D73" s="2" cm="1">
        <f t="array" ref="D73">_xll.DBR($A$5,C73,$E$1,$E$6,$E$5,"Amount")</f>
        <v>0</v>
      </c>
      <c r="E73" s="5">
        <f t="shared" si="8"/>
        <v>0</v>
      </c>
      <c r="F73" s="2" cm="1">
        <f t="array" ref="F73">_xll.DBR($A$6,C73,"Total Source",$E$1,$H$6,$H$5,"Amount")</f>
        <v>-20939154.451269899</v>
      </c>
      <c r="G73" s="6">
        <f t="shared" si="0"/>
        <v>20939154.451269899</v>
      </c>
      <c r="H73" s="26">
        <f t="shared" si="9"/>
        <v>-1.3115075483412524E-2</v>
      </c>
      <c r="I73" s="27">
        <f t="shared" si="1"/>
        <v>1</v>
      </c>
      <c r="J73" s="2" cm="1">
        <f t="array" ref="J73">_xll.DBR($A$6,C73,"Total Source",$E$1,$L$6,$L$5,"Amount")</f>
        <v>0</v>
      </c>
      <c r="K73" s="6">
        <f t="shared" si="2"/>
        <v>0</v>
      </c>
      <c r="L73" s="26">
        <f t="shared" si="10"/>
        <v>0</v>
      </c>
      <c r="M73" s="27">
        <f t="shared" si="3"/>
        <v>0</v>
      </c>
      <c r="N73" s="2" cm="1">
        <f t="array" ref="N73">_xll.DBR($A$5,C73,$E$1,$O$6,$O$5,"Amount")</f>
        <v>0</v>
      </c>
      <c r="O73" s="5">
        <f t="shared" si="11"/>
        <v>0</v>
      </c>
      <c r="P73" s="7"/>
      <c r="Q73" s="38" cm="1">
        <f t="array" ref="Q73">_xll.DBR($A$5,C73,$E$1,$R$6,$R$5&amp;"-YTD","Amount")</f>
        <v>0</v>
      </c>
      <c r="R73" s="40">
        <f t="shared" si="12"/>
        <v>0</v>
      </c>
      <c r="S73" s="38" cm="1">
        <f t="array" ref="S73">_xll.DBR($A$6,C73,"Total Source",$E$1,$U$6,$U$5&amp;"-YTD","Amount")</f>
        <v>-65422061.143955678</v>
      </c>
      <c r="T73" s="39">
        <f t="shared" si="4"/>
        <v>65422061.143955678</v>
      </c>
      <c r="U73" s="41">
        <f t="shared" si="13"/>
        <v>-4.3719229232960545E-3</v>
      </c>
      <c r="V73" s="35">
        <f t="shared" si="5"/>
        <v>1</v>
      </c>
      <c r="W73" s="38" cm="1">
        <f t="array" ref="W73">_xll.DBR($A$6,C73,"Total Source",$E$1,$Y$6,$Y$5&amp;"-YTD","Amount")</f>
        <v>0</v>
      </c>
      <c r="X73" s="39">
        <f t="shared" si="6"/>
        <v>0</v>
      </c>
      <c r="Y73" s="41">
        <f t="shared" si="14"/>
        <v>0</v>
      </c>
      <c r="Z73" s="35">
        <f t="shared" si="7"/>
        <v>0</v>
      </c>
      <c r="AA73" s="36" cm="1">
        <f t="array" ref="AA73">_xll.DBR($A$5,C73,$E$1,$AB$6,$AB$5&amp;"-YTD","Amount")</f>
        <v>0</v>
      </c>
      <c r="AB73" s="35">
        <f t="shared" si="15"/>
        <v>0</v>
      </c>
    </row>
    <row r="74" spans="3:28">
      <c r="C74" s="22" t="s">
        <v>76</v>
      </c>
      <c r="D74" s="1" cm="1">
        <f t="array" ref="D74">_xll.DBR($A$5,C74,$E$1,$E$6,$E$5,"Amount")</f>
        <v>-333973153.70643586</v>
      </c>
      <c r="E74" s="3">
        <f t="shared" si="8"/>
        <v>0</v>
      </c>
      <c r="F74" s="1" cm="1">
        <f t="array" ref="F74">_xll.DBR($A$6,C74,"Total Source",$E$1,$H$6,$H$5,"Amount")</f>
        <v>59895413.620949656</v>
      </c>
      <c r="G74" s="4">
        <f t="shared" si="0"/>
        <v>-393868567.32738554</v>
      </c>
      <c r="H74" s="23">
        <f t="shared" si="9"/>
        <v>3.7515023473229554E-2</v>
      </c>
      <c r="I74" s="24">
        <f t="shared" si="1"/>
        <v>-6.5759386823838861</v>
      </c>
      <c r="J74" s="1" cm="1">
        <f t="array" ref="J74">_xll.DBR($A$6,C74,"Total Source",$E$1,$L$6,$L$5,"Amount")</f>
        <v>-67441886.707432717</v>
      </c>
      <c r="K74" s="4">
        <f t="shared" si="2"/>
        <v>-266531266.99900314</v>
      </c>
      <c r="L74" s="23">
        <f t="shared" si="10"/>
        <v>-6.7140141735187842E-2</v>
      </c>
      <c r="M74" s="24">
        <f t="shared" si="3"/>
        <v>-3.9520138004921641</v>
      </c>
      <c r="N74" s="1" cm="1">
        <f t="array" ref="N74">_xll.DBR($A$5,C74,$E$1,$O$6,$O$5,"Amount")</f>
        <v>-68719295.247519299</v>
      </c>
      <c r="O74" s="3">
        <f t="shared" si="11"/>
        <v>-7.6211529465058617E-2</v>
      </c>
      <c r="P74" s="11"/>
      <c r="Q74" s="44" cm="1">
        <f t="array" ref="Q74">_xll.DBR($A$5,C74,$E$1,$R$6,$R$5&amp;"-YTD","Amount")</f>
        <v>-1195465956.9489644</v>
      </c>
      <c r="R74" s="47">
        <f t="shared" si="12"/>
        <v>-0.10735850498880108</v>
      </c>
      <c r="S74" s="44" cm="1">
        <f t="array" ref="S74">_xll.DBR($A$6,C74,"Total Source",$E$1,$U$6,$U$5&amp;"-YTD","Amount")</f>
        <v>121175663.70088691</v>
      </c>
      <c r="T74" s="33">
        <f t="shared" si="4"/>
        <v>-1316641620.6498513</v>
      </c>
      <c r="U74" s="48">
        <f t="shared" si="13"/>
        <v>8.097737255844107E-3</v>
      </c>
      <c r="V74" s="50">
        <f t="shared" si="5"/>
        <v>-10.865561453823624</v>
      </c>
      <c r="W74" s="44" cm="1">
        <f t="array" ref="W74">_xll.DBR($A$6,C74,"Total Source",$E$1,$Y$6,$Y$5&amp;"-YTD","Amount")</f>
        <v>-906856136.26870167</v>
      </c>
      <c r="X74" s="33">
        <f t="shared" si="6"/>
        <v>-288609820.68026268</v>
      </c>
      <c r="Y74" s="48">
        <f t="shared" si="14"/>
        <v>-7.4567691426299459E-2</v>
      </c>
      <c r="Z74" s="50">
        <f t="shared" si="7"/>
        <v>-0.31825314858403025</v>
      </c>
      <c r="AA74" s="34" cm="1">
        <f t="array" ref="AA74">_xll.DBR($A$5,C74,$E$1,$AB$6,$AB$5&amp;"-YTD","Amount")</f>
        <v>-138700817.28558844</v>
      </c>
      <c r="AB74" s="50">
        <f t="shared" si="15"/>
        <v>-1.5124014186832577E-2</v>
      </c>
    </row>
    <row r="75" spans="3:28" ht="15" thickBot="1">
      <c r="C75" s="84" t="s">
        <v>77</v>
      </c>
      <c r="D75" s="28">
        <f>IFERROR(D54-D30-D32,0)</f>
        <v>-262100587.25643602</v>
      </c>
      <c r="E75" s="30">
        <f t="shared" si="8"/>
        <v>0</v>
      </c>
      <c r="F75" s="28">
        <f>IFERROR(F54-F30-F32,0)</f>
        <v>208566374.48300892</v>
      </c>
      <c r="G75" s="83">
        <f t="shared" ref="G75" si="16">IFERROR(D75-F75,0)</f>
        <v>-470666961.73944497</v>
      </c>
      <c r="H75" s="82">
        <f t="shared" si="9"/>
        <v>0.13063391604528013</v>
      </c>
      <c r="I75" s="29">
        <f t="shared" ref="I75" si="17">IFERROR((D75-F75)/ABS(F75),0)</f>
        <v>-2.2566771029420583</v>
      </c>
      <c r="J75" s="28">
        <f>IFERROR(J54-J30-J32,0)</f>
        <v>104467679.13486682</v>
      </c>
      <c r="K75" s="83">
        <f t="shared" ref="K75" si="18">IFERROR(D75-J75,0)</f>
        <v>-366568266.39130282</v>
      </c>
      <c r="L75" s="82">
        <f t="shared" si="10"/>
        <v>0.10400027529312995</v>
      </c>
      <c r="M75" s="29">
        <f t="shared" ref="M75" si="19">IFERROR((D75-J75)/ABS(J75),0)</f>
        <v>-3.5089155749125673</v>
      </c>
      <c r="N75" s="28">
        <f>IFERROR(N54-N30-N32,0)</f>
        <v>71288708.199299604</v>
      </c>
      <c r="O75" s="30">
        <f t="shared" si="11"/>
        <v>7.9061076890962645E-2</v>
      </c>
      <c r="P75" s="11"/>
      <c r="Q75" s="45">
        <f>IFERROR(Q54-Q30-Q32,0)</f>
        <v>525256443.85103577</v>
      </c>
      <c r="R75" s="42">
        <f t="shared" si="12"/>
        <v>4.7170516416460959E-2</v>
      </c>
      <c r="S75" s="45">
        <f>IFERROR(S54-S30-S32,0)</f>
        <v>1531120185.1935966</v>
      </c>
      <c r="T75" s="81">
        <f t="shared" ref="T75" si="20">IFERROR(Q75-S75,0)</f>
        <v>-1005863741.3425608</v>
      </c>
      <c r="U75" s="80">
        <f t="shared" si="13"/>
        <v>0.10231929900893433</v>
      </c>
      <c r="V75" s="31">
        <f t="shared" ref="V75" si="21">IFERROR((Q75-S75)/ABS(S75),0)</f>
        <v>-0.65694630053837233</v>
      </c>
      <c r="W75" s="45">
        <f>IFERROR(W54-W30-W32,0)</f>
        <v>967247011.06409526</v>
      </c>
      <c r="X75" s="81">
        <f t="shared" ref="X75" si="22">IFERROR(Q75-W75,0)</f>
        <v>-441990567.21305948</v>
      </c>
      <c r="Y75" s="80">
        <f t="shared" si="14"/>
        <v>7.9533427375593296E-2</v>
      </c>
      <c r="Z75" s="31">
        <f t="shared" ref="Z75" si="23">IFERROR((Q75-W75)/ABS(W75),0)</f>
        <v>-0.45695728408280467</v>
      </c>
      <c r="AA75" s="52">
        <f>IFERROR(AA54-AA30-AA32,0)</f>
        <v>967530522.90821052</v>
      </c>
      <c r="AB75" s="31">
        <f t="shared" si="15"/>
        <v>0.10550006583254458</v>
      </c>
    </row>
    <row r="76" spans="3:28">
      <c r="P76" s="11"/>
    </row>
    <row r="77" spans="3:28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49"/>
      <c r="AB77" s="7"/>
    </row>
    <row r="78" spans="3:28">
      <c r="P78" s="7"/>
    </row>
    <row r="79" spans="3:28">
      <c r="P79" s="7"/>
    </row>
    <row r="80" spans="3:28">
      <c r="P80" s="7"/>
    </row>
    <row r="81" spans="16:16">
      <c r="P81" s="7"/>
    </row>
    <row r="82" spans="16:16">
      <c r="P82" s="11"/>
    </row>
    <row r="83" spans="16:16">
      <c r="P83" s="11"/>
    </row>
    <row r="84" spans="16:16">
      <c r="P84" s="7"/>
    </row>
    <row r="85" spans="16:16">
      <c r="P85" s="11"/>
    </row>
    <row r="86" spans="16:16">
      <c r="P86" s="11"/>
    </row>
    <row r="88" spans="16:16">
      <c r="P88" s="7"/>
    </row>
  </sheetData>
  <mergeCells count="8">
    <mergeCell ref="D8:E8"/>
    <mergeCell ref="J8:M8"/>
    <mergeCell ref="F8:I8"/>
    <mergeCell ref="AA8:AB8"/>
    <mergeCell ref="Q8:R8"/>
    <mergeCell ref="S8:V8"/>
    <mergeCell ref="N8:O8"/>
    <mergeCell ref="W8:Z8"/>
  </mergeCells>
  <pageMargins left="0.7" right="0.7" top="0.75" bottom="0.75" header="0.3" footer="0.3"/>
  <ignoredErrors>
    <ignoredError sqref="D13 F13 J13 N13 Q13 S13 W13 AA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1BDE-6A71-4B49-A713-2542D1432954}">
  <dimension ref="A1:W110"/>
  <sheetViews>
    <sheetView topLeftCell="B1" zoomScaleNormal="100" workbookViewId="0">
      <selection activeCell="D5" sqref="D5"/>
    </sheetView>
  </sheetViews>
  <sheetFormatPr defaultRowHeight="14.25"/>
  <cols>
    <col min="1" max="1" width="16.7109375" style="10" hidden="1" customWidth="1"/>
    <col min="2" max="2" width="41" style="10" bestFit="1" customWidth="1"/>
    <col min="3" max="3" width="15.28515625" style="10" bestFit="1" customWidth="1"/>
    <col min="4" max="4" width="11.42578125" style="10" bestFit="1" customWidth="1"/>
    <col min="5" max="5" width="18.85546875" style="10" bestFit="1" customWidth="1"/>
    <col min="6" max="6" width="14.42578125" style="10" bestFit="1" customWidth="1"/>
    <col min="7" max="7" width="20.140625" style="10" bestFit="1" customWidth="1"/>
    <col min="8" max="8" width="23.85546875" style="10" bestFit="1" customWidth="1"/>
    <col min="9" max="9" width="14.42578125" style="10" bestFit="1" customWidth="1"/>
    <col min="10" max="10" width="22.5703125" style="10" bestFit="1" customWidth="1"/>
    <col min="11" max="11" width="13.85546875" style="10" bestFit="1" customWidth="1"/>
    <col min="12" max="12" width="16.140625" style="10" bestFit="1" customWidth="1"/>
    <col min="13" max="13" width="9.140625" style="10"/>
    <col min="14" max="14" width="15.42578125" style="10" bestFit="1" customWidth="1"/>
    <col min="15" max="15" width="7.5703125" style="10" bestFit="1" customWidth="1"/>
    <col min="16" max="16" width="18.85546875" style="10" bestFit="1" customWidth="1"/>
    <col min="17" max="17" width="14.42578125" style="10" bestFit="1" customWidth="1"/>
    <col min="18" max="18" width="20.140625" style="10" bestFit="1" customWidth="1"/>
    <col min="19" max="19" width="23.85546875" style="10" bestFit="1" customWidth="1"/>
    <col min="20" max="20" width="14.42578125" style="10" bestFit="1" customWidth="1"/>
    <col min="21" max="21" width="22.5703125" style="10" bestFit="1" customWidth="1"/>
    <col min="22" max="22" width="15.42578125" style="10" bestFit="1" customWidth="1"/>
    <col min="23" max="23" width="16.140625" style="10" bestFit="1" customWidth="1"/>
    <col min="24" max="16384" width="9.140625" style="10"/>
  </cols>
  <sheetData>
    <row r="1" spans="1:23">
      <c r="A1" s="56"/>
      <c r="B1" s="56"/>
      <c r="C1" s="57" t="s">
        <v>1</v>
      </c>
      <c r="D1" s="56" t="str">
        <f>PL!E1</f>
        <v>Koçtaş Total</v>
      </c>
      <c r="E1" s="57" t="s">
        <v>2</v>
      </c>
      <c r="F1" s="56" t="str">
        <f>PL!G1</f>
        <v>2024-11</v>
      </c>
      <c r="G1" s="56"/>
      <c r="H1" s="56"/>
      <c r="I1" s="56"/>
      <c r="J1" s="56"/>
      <c r="K1" s="56"/>
      <c r="L1" s="56"/>
      <c r="M1" s="56"/>
      <c r="N1" s="57"/>
      <c r="O1" s="56"/>
      <c r="P1" s="56"/>
      <c r="Q1" s="56"/>
      <c r="R1" s="56"/>
      <c r="S1" s="56"/>
      <c r="T1" s="56"/>
      <c r="U1" s="56"/>
      <c r="V1" s="56"/>
      <c r="W1" s="56"/>
    </row>
    <row r="4" spans="1:23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3">
      <c r="A5" s="56" t="s">
        <v>176</v>
      </c>
      <c r="B5" s="56"/>
      <c r="C5" s="57" t="s">
        <v>2</v>
      </c>
      <c r="D5" s="58" t="str">
        <f>PL!E5</f>
        <v>2024-11</v>
      </c>
      <c r="E5" s="57" t="s">
        <v>83</v>
      </c>
      <c r="F5" s="57"/>
      <c r="G5" s="58" t="str">
        <f>PL!H5</f>
        <v>2024-11</v>
      </c>
      <c r="H5" s="57" t="s">
        <v>83</v>
      </c>
      <c r="I5" s="57"/>
      <c r="J5" s="58" t="str">
        <f>PL!L5</f>
        <v>2024-11</v>
      </c>
      <c r="K5" s="57" t="s">
        <v>2</v>
      </c>
      <c r="L5" s="58" t="str">
        <f>PL!O5</f>
        <v>2023-11</v>
      </c>
      <c r="M5" s="56"/>
      <c r="N5" s="57" t="s">
        <v>2</v>
      </c>
      <c r="O5" s="58" t="str">
        <f>PL!R5</f>
        <v>2024-11</v>
      </c>
      <c r="P5" s="57" t="s">
        <v>2</v>
      </c>
      <c r="Q5" s="57"/>
      <c r="R5" s="58" t="str">
        <f>PL!U5</f>
        <v>2024-11</v>
      </c>
      <c r="S5" s="57" t="s">
        <v>2</v>
      </c>
      <c r="T5" s="57"/>
      <c r="U5" s="58" t="str">
        <f>PL!Y5</f>
        <v>2024-11</v>
      </c>
      <c r="V5" s="57" t="s">
        <v>2</v>
      </c>
      <c r="W5" s="58" t="str">
        <f>PL!AB5</f>
        <v>2023-11</v>
      </c>
    </row>
    <row r="6" spans="1:23" ht="15" thickBot="1">
      <c r="A6" s="56" t="s">
        <v>177</v>
      </c>
      <c r="B6" s="56"/>
      <c r="C6" s="57" t="s">
        <v>84</v>
      </c>
      <c r="D6" s="59" t="str">
        <f>PL!E6</f>
        <v>Fiili</v>
      </c>
      <c r="E6" s="57" t="s">
        <v>85</v>
      </c>
      <c r="F6" s="57"/>
      <c r="G6" s="59" t="str">
        <f>PL!H6</f>
        <v>Budget 2024 | Arşiv</v>
      </c>
      <c r="H6" s="57" t="s">
        <v>178</v>
      </c>
      <c r="I6" s="57"/>
      <c r="J6" s="59" t="str">
        <f>PL!L6</f>
        <v>Forecast 9+3 2024 | Arşiv</v>
      </c>
      <c r="K6" s="57" t="s">
        <v>84</v>
      </c>
      <c r="L6" s="59" t="str">
        <f>PL!O6</f>
        <v>Fiili</v>
      </c>
      <c r="M6" s="56"/>
      <c r="N6" s="57" t="s">
        <v>84</v>
      </c>
      <c r="O6" s="59" t="str">
        <f>PL!R6</f>
        <v>Fiili</v>
      </c>
      <c r="P6" s="57" t="s">
        <v>86</v>
      </c>
      <c r="Q6" s="57"/>
      <c r="R6" s="59" t="str">
        <f>PL!U6</f>
        <v>Budget 2024 | Arşiv</v>
      </c>
      <c r="S6" s="57" t="s">
        <v>179</v>
      </c>
      <c r="T6" s="57"/>
      <c r="U6" s="59" t="str">
        <f>PL!Y6</f>
        <v>Forecast 9+3 2024 | Arşiv</v>
      </c>
      <c r="V6" s="57" t="s">
        <v>84</v>
      </c>
      <c r="W6" s="59" t="str">
        <f>PL!AB6</f>
        <v>Fiili</v>
      </c>
    </row>
    <row r="7" spans="1:23">
      <c r="A7" s="56"/>
      <c r="B7" s="56"/>
      <c r="C7" s="60"/>
      <c r="D7" s="61"/>
      <c r="E7" s="60"/>
      <c r="F7" s="62"/>
      <c r="G7" s="61"/>
      <c r="H7" s="60"/>
      <c r="I7" s="62"/>
      <c r="J7" s="61"/>
      <c r="K7" s="60"/>
      <c r="L7" s="61"/>
      <c r="M7" s="56"/>
      <c r="N7" s="60"/>
      <c r="O7" s="61"/>
      <c r="P7" s="60"/>
      <c r="Q7" s="62"/>
      <c r="R7" s="61"/>
      <c r="S7" s="60"/>
      <c r="T7" s="62"/>
      <c r="U7" s="61"/>
      <c r="V7" s="60"/>
      <c r="W7" s="61"/>
    </row>
    <row r="8" spans="1:23">
      <c r="B8" s="56"/>
      <c r="C8" s="86" t="s">
        <v>8</v>
      </c>
      <c r="D8" s="87"/>
      <c r="E8" s="86" t="s">
        <v>8</v>
      </c>
      <c r="F8" s="88"/>
      <c r="G8" s="87"/>
      <c r="H8" s="86" t="s">
        <v>8</v>
      </c>
      <c r="I8" s="88"/>
      <c r="J8" s="87"/>
      <c r="K8" s="86" t="s">
        <v>8</v>
      </c>
      <c r="L8" s="87"/>
      <c r="M8" s="56"/>
      <c r="N8" s="86" t="s">
        <v>9</v>
      </c>
      <c r="O8" s="87"/>
      <c r="P8" s="86" t="s">
        <v>9</v>
      </c>
      <c r="Q8" s="88"/>
      <c r="R8" s="87"/>
      <c r="S8" s="86" t="s">
        <v>9</v>
      </c>
      <c r="T8" s="88"/>
      <c r="U8" s="87"/>
      <c r="V8" s="86" t="s">
        <v>9</v>
      </c>
      <c r="W8" s="87"/>
    </row>
    <row r="9" spans="1:23">
      <c r="A9" s="56"/>
      <c r="B9" s="56"/>
      <c r="C9" s="63" t="s">
        <v>10</v>
      </c>
      <c r="D9" s="64"/>
      <c r="E9" s="63" t="str">
        <f>G6</f>
        <v>Budget 2024 | Arşiv</v>
      </c>
      <c r="F9" s="65" t="s">
        <v>12</v>
      </c>
      <c r="G9" s="66" t="s">
        <v>197</v>
      </c>
      <c r="H9" s="63" t="str">
        <f>J6</f>
        <v>Forecast 9+3 2024 | Arşiv</v>
      </c>
      <c r="I9" s="65" t="s">
        <v>12</v>
      </c>
      <c r="J9" s="66" t="s">
        <v>198</v>
      </c>
      <c r="K9" s="63" t="s">
        <v>13</v>
      </c>
      <c r="L9" s="55" t="s">
        <v>87</v>
      </c>
      <c r="M9" s="56"/>
      <c r="N9" s="63" t="s">
        <v>10</v>
      </c>
      <c r="O9" s="67"/>
      <c r="P9" s="63" t="str">
        <f>R6</f>
        <v>Budget 2024 | Arşiv</v>
      </c>
      <c r="Q9" s="65" t="s">
        <v>12</v>
      </c>
      <c r="R9" s="66" t="s">
        <v>197</v>
      </c>
      <c r="S9" s="63" t="str">
        <f>U6</f>
        <v>Forecast 9+3 2024 | Arşiv</v>
      </c>
      <c r="T9" s="65" t="s">
        <v>12</v>
      </c>
      <c r="U9" s="66" t="s">
        <v>198</v>
      </c>
      <c r="V9" s="63" t="s">
        <v>13</v>
      </c>
      <c r="W9" s="66" t="s">
        <v>87</v>
      </c>
    </row>
    <row r="10" spans="1:23">
      <c r="A10" s="68"/>
      <c r="B10" s="68" t="s">
        <v>88</v>
      </c>
      <c r="C10" s="69" cm="1">
        <f t="array" ref="C10">_xll.DBR($A$5,B10,$D$1,$D$6,$D$5,"Karşlılık Sonrası - Aylık")</f>
        <v>11795367.780039983</v>
      </c>
      <c r="D10" s="70"/>
      <c r="E10" s="69" cm="1">
        <f t="array" ref="E10">_xll.DBR($A$6,B10,$D$1,"Departman Toplam",$G$6,$G$5,"Amount Cost")</f>
        <v>220680204.70692685</v>
      </c>
      <c r="F10" s="71">
        <f>IFERROR(C10-E10,0)</f>
        <v>-208884836.92688686</v>
      </c>
      <c r="G10" s="72">
        <f>IFERROR((C10-E10)/ABS(E10),0)</f>
        <v>-0.94654995088614868</v>
      </c>
      <c r="H10" s="69" cm="1">
        <f t="array" ref="H10">_xll.DBR($A$6,B10,$D$1,"Departman Toplam",$J$6,$J$5,"Amount Cost")</f>
        <v>196662985.88199744</v>
      </c>
      <c r="I10" s="71">
        <f>IFERROR(C10-H10,0)</f>
        <v>-184867618.10195744</v>
      </c>
      <c r="J10" s="72">
        <f>IFERROR((C10-H10)/ABS(H10),0)</f>
        <v>-0.94002243112937633</v>
      </c>
      <c r="K10" s="69" cm="1">
        <f t="array" ref="K10">_xll.DBR($A$5,B10,$D$1,$L$6,$L$5,"Karşlılık Sonrası - Aylık")</f>
        <v>147259879.36431006</v>
      </c>
      <c r="L10" s="72">
        <f>IFERROR((C10-K10)/ABS(K10),0)</f>
        <v>-0.91990100880865777</v>
      </c>
      <c r="M10" s="68"/>
      <c r="N10" s="69" cm="1">
        <f t="array" ref="N10">_xll.DBR($A$5,B10,$D$1,$O$6,$O$5,"Karşılık Sonrası - YTD")</f>
        <v>2164981160.8199997</v>
      </c>
      <c r="O10" s="70"/>
      <c r="P10" s="69" cm="1">
        <f t="array" ref="P10">_xll.DBR($A$6,B10,$D$1,"Departman Toplam",$R$6,$R$5&amp;"-YTD","Amount Cost")</f>
        <v>2387633821.4547534</v>
      </c>
      <c r="Q10" s="71">
        <f>IFERROR(N10-P10,0)</f>
        <v>-222652660.6347537</v>
      </c>
      <c r="R10" s="72">
        <f>IFERROR((N10-P10)/ABS(P10),0)</f>
        <v>-9.3252432024561627E-2</v>
      </c>
      <c r="S10" s="69" cm="1">
        <f t="array" ref="S10">_xll.DBR($A$6,B10,$D$1,"Departman Toplam",$U$6,$U$5&amp;"-YTD","Amount Cost")</f>
        <v>2313090360.9337721</v>
      </c>
      <c r="T10" s="71">
        <f>IFERROR(N10-S10,0)</f>
        <v>-148109200.11377239</v>
      </c>
      <c r="U10" s="72">
        <f>IFERROR((N10-S10)/ABS(S10),0)</f>
        <v>-6.4030875150931046E-2</v>
      </c>
      <c r="V10" s="69" cm="1">
        <f t="array" ref="V10">_xll.DBR($A$5,B10,$D$1,$W$6,$W$5,"Karşılık Sonrası - YTD")</f>
        <v>1375174201.7900503</v>
      </c>
      <c r="W10" s="72">
        <f>IFERROR((N10-V10)/ABS(V10),0)</f>
        <v>0.57433229768407945</v>
      </c>
    </row>
    <row r="11" spans="1:23">
      <c r="A11" s="56"/>
      <c r="B11" s="56" t="s">
        <v>181</v>
      </c>
      <c r="C11" s="73" cm="1">
        <f t="array" ref="C11">_xll.DBR($A$5,B11,$D$1,$D$6,$D$5,"Karşlılık Sonrası - Aylık")</f>
        <v>7686436.9800399831</v>
      </c>
      <c r="D11" s="64"/>
      <c r="E11" s="73" cm="1">
        <f t="array" ref="E11">_xll.DBR($A$6,B11,$D$1,"Departman Toplam",$G$6,$G$5,"Amount Cost")</f>
        <v>105725009.52624048</v>
      </c>
      <c r="F11" s="74">
        <f t="shared" ref="F11:F74" si="0">IFERROR(C11-E11,0)</f>
        <v>-98038572.546200499</v>
      </c>
      <c r="G11" s="75">
        <f t="shared" ref="G11:G74" si="1">IFERROR((C11-E11)/ABS(E11),0)</f>
        <v>-0.92729783601360427</v>
      </c>
      <c r="H11" s="73" cm="1">
        <f t="array" ref="H11">_xll.DBR($A$6,B11,$D$1,"Departman Toplam",$J$6,$J$5,"Amount Cost")</f>
        <v>74048275.016369998</v>
      </c>
      <c r="I11" s="74">
        <f t="shared" ref="I11:I74" si="2">IFERROR(C11-H11,0)</f>
        <v>-66361838.036330014</v>
      </c>
      <c r="J11" s="75">
        <f t="shared" ref="J11:J74" si="3">IFERROR((C11-H11)/ABS(H11),0)</f>
        <v>-0.89619694748674794</v>
      </c>
      <c r="K11" s="73" cm="1">
        <f t="array" ref="K11">_xll.DBR($A$5,B11,$D$1,$L$6,$L$5,"Karşlılık Sonrası - Aylık")</f>
        <v>70772503.230030045</v>
      </c>
      <c r="L11" s="75">
        <f t="shared" ref="L11:L74" si="4">IFERROR((C11-K11)/ABS(K11),0)</f>
        <v>-0.89139232570230054</v>
      </c>
      <c r="M11" s="56"/>
      <c r="N11" s="73" cm="1">
        <f t="array" ref="N11">_xll.DBR($A$5,B11,$D$1,$O$6,$O$5,"Karşılık Sonrası - YTD")</f>
        <v>932034471.09000015</v>
      </c>
      <c r="O11" s="64"/>
      <c r="P11" s="73" cm="1">
        <f t="array" ref="P11">_xll.DBR($A$6,B11,$D$1,"Departman Toplam",$R$6,$R$5&amp;"-YTD","Amount Cost")</f>
        <v>1106214823.1831181</v>
      </c>
      <c r="Q11" s="74">
        <f t="shared" ref="Q11:Q74" si="5">IFERROR(N11-P11,0)</f>
        <v>-174180352.09311795</v>
      </c>
      <c r="R11" s="75">
        <f t="shared" ref="R11:R74" si="6">IFERROR((N11-P11)/ABS(P11),0)</f>
        <v>-0.1574561725650325</v>
      </c>
      <c r="S11" s="73" cm="1">
        <f t="array" ref="S11">_xll.DBR($A$6,B11,$D$1,"Departman Toplam",$U$6,$U$5&amp;"-YTD","Amount Cost")</f>
        <v>983071967.45623028</v>
      </c>
      <c r="T11" s="74">
        <f t="shared" ref="T11:T74" si="7">IFERROR(N11-S11,0)</f>
        <v>-51037496.36623013</v>
      </c>
      <c r="U11" s="75">
        <f t="shared" ref="U11:U74" si="8">IFERROR((N11-S11)/ABS(S11),0)</f>
        <v>-5.1916337822441767E-2</v>
      </c>
      <c r="V11" s="73" cm="1">
        <f t="array" ref="V11">_xll.DBR($A$5,B11,$D$1,$W$6,$W$5,"Karşılık Sonrası - YTD")</f>
        <v>640385606.55005002</v>
      </c>
      <c r="W11" s="75">
        <f t="shared" ref="W11:W74" si="9">IFERROR((N11-V11)/ABS(V11),0)</f>
        <v>0.45542695144438106</v>
      </c>
    </row>
    <row r="12" spans="1:23">
      <c r="A12" s="56" t="s">
        <v>78</v>
      </c>
      <c r="B12" s="56" t="s">
        <v>182</v>
      </c>
      <c r="C12" s="73" cm="1">
        <f t="array" ref="C12">_xll.DBR($A$5,B12,$D$1,$D$6,$D$5,"Karşlılık Sonrası - Aylık")</f>
        <v>2925496.16</v>
      </c>
      <c r="D12" s="64"/>
      <c r="E12" s="73" cm="1">
        <f t="array" ref="E12">_xll.DBR($A$6,B12,$D$1,"Departman Toplam",$G$6,$G$5,"Amount Cost")</f>
        <v>37691765.714285716</v>
      </c>
      <c r="F12" s="74">
        <f t="shared" si="0"/>
        <v>-34766269.55428572</v>
      </c>
      <c r="G12" s="75">
        <f t="shared" si="1"/>
        <v>-0.92238367970935387</v>
      </c>
      <c r="H12" s="73" cm="1">
        <f t="array" ref="H12">_xll.DBR($A$6,B12,$D$1,"Departman Toplam",$J$6,$J$5,"Amount Cost")</f>
        <v>26892110.833333287</v>
      </c>
      <c r="I12" s="74">
        <f t="shared" si="2"/>
        <v>-23966614.673333287</v>
      </c>
      <c r="J12" s="75">
        <f t="shared" si="3"/>
        <v>-0.89121359129705091</v>
      </c>
      <c r="K12" s="73" cm="1">
        <f t="array" ref="K12">_xll.DBR($A$5,B12,$D$1,$L$6,$L$5,"Karşlılık Sonrası - Aylık")</f>
        <v>23000927.360000007</v>
      </c>
      <c r="L12" s="75">
        <f t="shared" si="4"/>
        <v>-0.87280964309779907</v>
      </c>
      <c r="M12" s="56"/>
      <c r="N12" s="73" cm="1">
        <f t="array" ref="N12">_xll.DBR($A$5,B12,$D$1,$O$6,$O$5,"Karşılık Sonrası - YTD")</f>
        <v>299311766.75000024</v>
      </c>
      <c r="O12" s="64"/>
      <c r="P12" s="73" cm="1">
        <f t="array" ref="P12">_xll.DBR($A$6,B12,$D$1,"Departman Toplam",$R$6,$R$5&amp;"-YTD","Amount Cost")</f>
        <v>379476057.14285713</v>
      </c>
      <c r="Q12" s="74">
        <f t="shared" si="5"/>
        <v>-80164290.392856896</v>
      </c>
      <c r="R12" s="75">
        <f t="shared" si="6"/>
        <v>-0.21124992969629791</v>
      </c>
      <c r="S12" s="73" cm="1">
        <f t="array" ref="S12">_xll.DBR($A$6,B12,$D$1,"Departman Toplam",$U$6,$U$5&amp;"-YTD","Amount Cost")</f>
        <v>323757550.30333251</v>
      </c>
      <c r="T12" s="74">
        <f t="shared" si="7"/>
        <v>-24445783.553332269</v>
      </c>
      <c r="U12" s="75">
        <f t="shared" si="8"/>
        <v>-7.5506450831582791E-2</v>
      </c>
      <c r="V12" s="73" cm="1">
        <f t="array" ref="V12">_xll.DBR($A$5,B12,$D$1,$W$6,$W$5,"Karşılık Sonrası - YTD")</f>
        <v>213064375.79000002</v>
      </c>
      <c r="W12" s="75">
        <f t="shared" si="9"/>
        <v>0.40479498574180772</v>
      </c>
    </row>
    <row r="13" spans="1:23">
      <c r="A13" s="56"/>
      <c r="B13" s="56" t="s">
        <v>183</v>
      </c>
      <c r="C13" s="73" cm="1">
        <f t="array" ref="C13">_xll.DBR($A$5,B13,$D$1,$D$6,$D$5,"Karşlılık Sonrası - Aylık")</f>
        <v>0</v>
      </c>
      <c r="D13" s="64"/>
      <c r="E13" s="73" cm="1">
        <f t="array" ref="E13">_xll.DBR($A$6,B13,$D$1,"Departman Toplam",$G$6,$G$5,"Amount Cost")</f>
        <v>559794</v>
      </c>
      <c r="F13" s="74">
        <f t="shared" si="0"/>
        <v>-559794</v>
      </c>
      <c r="G13" s="75">
        <f t="shared" si="1"/>
        <v>-1</v>
      </c>
      <c r="H13" s="73" cm="1">
        <f t="array" ref="H13">_xll.DBR($A$6,B13,$D$1,"Departman Toplam",$J$6,$J$5,"Amount Cost")</f>
        <v>492428.10000000003</v>
      </c>
      <c r="I13" s="74">
        <f t="shared" si="2"/>
        <v>-492428.10000000003</v>
      </c>
      <c r="J13" s="75">
        <f t="shared" si="3"/>
        <v>-1</v>
      </c>
      <c r="K13" s="73" cm="1">
        <f t="array" ref="K13">_xll.DBR($A$5,B13,$D$1,$L$6,$L$5,"Karşlılık Sonrası - Aylık")</f>
        <v>177162.22999999998</v>
      </c>
      <c r="L13" s="75">
        <f t="shared" si="4"/>
        <v>-1</v>
      </c>
      <c r="M13" s="56"/>
      <c r="N13" s="73" cm="1">
        <f t="array" ref="N13">_xll.DBR($A$5,B13,$D$1,$O$6,$O$5,"Karşılık Sonrası - YTD")</f>
        <v>11886707.609999996</v>
      </c>
      <c r="O13" s="64"/>
      <c r="P13" s="73" cm="1">
        <f t="array" ref="P13">_xll.DBR($A$6,B13,$D$1,"Departman Toplam",$R$6,$R$5&amp;"-YTD","Amount Cost")</f>
        <v>8572670</v>
      </c>
      <c r="Q13" s="74">
        <f t="shared" si="5"/>
        <v>3314037.6099999957</v>
      </c>
      <c r="R13" s="75">
        <f t="shared" si="6"/>
        <v>0.38658173124592404</v>
      </c>
      <c r="S13" s="73" cm="1">
        <f t="array" ref="S13">_xll.DBR($A$6,B13,$D$1,"Departman Toplam",$U$6,$U$5&amp;"-YTD","Amount Cost")</f>
        <v>10660508.66</v>
      </c>
      <c r="T13" s="74">
        <f t="shared" si="7"/>
        <v>1226198.9499999955</v>
      </c>
      <c r="U13" s="75">
        <f t="shared" si="8"/>
        <v>0.11502255559351476</v>
      </c>
      <c r="V13" s="73" cm="1">
        <f t="array" ref="V13">_xll.DBR($A$5,B13,$D$1,$W$6,$W$5,"Karşılık Sonrası - YTD")</f>
        <v>4503944.5500000017</v>
      </c>
      <c r="W13" s="75">
        <f t="shared" si="9"/>
        <v>1.6391771652694951</v>
      </c>
    </row>
    <row r="14" spans="1:23">
      <c r="A14" s="56"/>
      <c r="B14" s="56" t="s">
        <v>184</v>
      </c>
      <c r="C14" s="73" cm="1">
        <f t="array" ref="C14">_xll.DBR($A$5,B14,$D$1,$D$6,$D$5,"Karşlılık Sonrası - Aylık")</f>
        <v>0</v>
      </c>
      <c r="D14" s="64"/>
      <c r="E14" s="73" cm="1">
        <f t="array" ref="E14">_xll.DBR($A$6,B14,$D$1,"Departman Toplam",$G$6,$G$5,"Amount Cost")</f>
        <v>0</v>
      </c>
      <c r="F14" s="74">
        <f t="shared" si="0"/>
        <v>0</v>
      </c>
      <c r="G14" s="75">
        <f t="shared" si="1"/>
        <v>0</v>
      </c>
      <c r="H14" s="73" cm="1">
        <f t="array" ref="H14">_xll.DBR($A$6,B14,$D$1,"Departman Toplam",$J$6,$J$5,"Amount Cost")</f>
        <v>0</v>
      </c>
      <c r="I14" s="74">
        <f t="shared" si="2"/>
        <v>0</v>
      </c>
      <c r="J14" s="75">
        <f t="shared" si="3"/>
        <v>0</v>
      </c>
      <c r="K14" s="73" cm="1">
        <f t="array" ref="K14">_xll.DBR($A$5,B14,$D$1,$L$6,$L$5,"Karşlılık Sonrası - Aylık")</f>
        <v>0</v>
      </c>
      <c r="L14" s="75">
        <f t="shared" si="4"/>
        <v>0</v>
      </c>
      <c r="M14" s="56"/>
      <c r="N14" s="73" cm="1">
        <f t="array" ref="N14">_xll.DBR($A$5,B14,$D$1,$O$6,$O$5,"Karşılık Sonrası - YTD")</f>
        <v>7755557.0500000007</v>
      </c>
      <c r="O14" s="64"/>
      <c r="P14" s="73" cm="1">
        <f t="array" ref="P14">_xll.DBR($A$6,B14,$D$1,"Departman Toplam",$R$6,$R$5&amp;"-YTD","Amount Cost")</f>
        <v>6602850</v>
      </c>
      <c r="Q14" s="74">
        <f t="shared" si="5"/>
        <v>1152707.0500000007</v>
      </c>
      <c r="R14" s="75">
        <f t="shared" si="6"/>
        <v>0.17457719772522481</v>
      </c>
      <c r="S14" s="73" cm="1">
        <f t="array" ref="S14">_xll.DBR($A$6,B14,$D$1,"Departman Toplam",$U$6,$U$5&amp;"-YTD","Amount Cost")</f>
        <v>7755557.0500000007</v>
      </c>
      <c r="T14" s="74">
        <f t="shared" si="7"/>
        <v>0</v>
      </c>
      <c r="U14" s="75">
        <f t="shared" si="8"/>
        <v>0</v>
      </c>
      <c r="V14" s="73" cm="1">
        <f t="array" ref="V14">_xll.DBR($A$5,B14,$D$1,$W$6,$W$5,"Karşılık Sonrası - YTD")</f>
        <v>4364415</v>
      </c>
      <c r="W14" s="75">
        <f t="shared" si="9"/>
        <v>0.7769980741978022</v>
      </c>
    </row>
    <row r="15" spans="1:23">
      <c r="A15" s="56"/>
      <c r="B15" s="56" t="s">
        <v>185</v>
      </c>
      <c r="C15" s="73" cm="1">
        <f t="array" ref="C15">_xll.DBR($A$5,B15,$D$1,$D$6,$D$5,"Karşlılık Sonrası - Aylık")</f>
        <v>0</v>
      </c>
      <c r="D15" s="64"/>
      <c r="E15" s="73" cm="1">
        <f t="array" ref="E15">_xll.DBR($A$6,B15,$D$1,"Departman Toplam",$G$6,$G$5,"Amount Cost")</f>
        <v>1065300</v>
      </c>
      <c r="F15" s="74">
        <f t="shared" si="0"/>
        <v>-1065300</v>
      </c>
      <c r="G15" s="75">
        <f t="shared" si="1"/>
        <v>-1</v>
      </c>
      <c r="H15" s="73" cm="1">
        <f t="array" ref="H15">_xll.DBR($A$6,B15,$D$1,"Departman Toplam",$J$6,$J$5,"Amount Cost")</f>
        <v>749420</v>
      </c>
      <c r="I15" s="74">
        <f t="shared" si="2"/>
        <v>-749420</v>
      </c>
      <c r="J15" s="75">
        <f t="shared" si="3"/>
        <v>-1</v>
      </c>
      <c r="K15" s="73" cm="1">
        <f t="array" ref="K15">_xll.DBR($A$5,B15,$D$1,$L$6,$L$5,"Karşlılık Sonrası - Aylık")</f>
        <v>1571427.23</v>
      </c>
      <c r="L15" s="75">
        <f t="shared" si="4"/>
        <v>-1</v>
      </c>
      <c r="M15" s="56"/>
      <c r="N15" s="73" cm="1">
        <f t="array" ref="N15">_xll.DBR($A$5,B15,$D$1,$O$6,$O$5,"Karşılık Sonrası - YTD")</f>
        <v>14880498.080000002</v>
      </c>
      <c r="O15" s="64"/>
      <c r="P15" s="73" cm="1">
        <f t="array" ref="P15">_xll.DBR($A$6,B15,$D$1,"Departman Toplam",$R$6,$R$5&amp;"-YTD","Amount Cost")</f>
        <v>12120040</v>
      </c>
      <c r="Q15" s="74">
        <f t="shared" si="5"/>
        <v>2760458.0800000019</v>
      </c>
      <c r="R15" s="75">
        <f t="shared" si="6"/>
        <v>0.22775981597420486</v>
      </c>
      <c r="S15" s="73" cm="1">
        <f t="array" ref="S15">_xll.DBR($A$6,B15,$D$1,"Departman Toplam",$U$6,$U$5&amp;"-YTD","Amount Cost")</f>
        <v>15207515.010000002</v>
      </c>
      <c r="T15" s="74">
        <f t="shared" si="7"/>
        <v>-327016.9299999997</v>
      </c>
      <c r="U15" s="75">
        <f t="shared" si="8"/>
        <v>-2.1503640126934825E-2</v>
      </c>
      <c r="V15" s="73" cm="1">
        <f t="array" ref="V15">_xll.DBR($A$5,B15,$D$1,$W$6,$W$5,"Karşılık Sonrası - YTD")</f>
        <v>16410144.860000001</v>
      </c>
      <c r="W15" s="75">
        <f t="shared" si="9"/>
        <v>-9.3213484283648132E-2</v>
      </c>
    </row>
    <row r="16" spans="1:23">
      <c r="A16" s="56"/>
      <c r="B16" s="56" t="s">
        <v>186</v>
      </c>
      <c r="C16" s="73" cm="1">
        <f t="array" ref="C16">_xll.DBR($A$5,B16,$D$1,$D$6,$D$5,"Karşlılık Sonrası - Aylık")</f>
        <v>0</v>
      </c>
      <c r="D16" s="64"/>
      <c r="E16" s="73" cm="1">
        <f t="array" ref="E16">_xll.DBR($A$6,B16,$D$1,"Departman Toplam",$G$6,$G$5,"Amount Cost")</f>
        <v>0</v>
      </c>
      <c r="F16" s="74">
        <f t="shared" si="0"/>
        <v>0</v>
      </c>
      <c r="G16" s="75">
        <f t="shared" si="1"/>
        <v>0</v>
      </c>
      <c r="H16" s="73" cm="1">
        <f t="array" ref="H16">_xll.DBR($A$6,B16,$D$1,"Departman Toplam",$J$6,$J$5,"Amount Cost")</f>
        <v>0</v>
      </c>
      <c r="I16" s="74">
        <f t="shared" si="2"/>
        <v>0</v>
      </c>
      <c r="J16" s="75">
        <f t="shared" si="3"/>
        <v>0</v>
      </c>
      <c r="K16" s="73" cm="1">
        <f t="array" ref="K16">_xll.DBR($A$5,B16,$D$1,$L$6,$L$5,"Karşlılık Sonrası - Aylık")</f>
        <v>3200</v>
      </c>
      <c r="L16" s="75">
        <f t="shared" si="4"/>
        <v>-1</v>
      </c>
      <c r="M16" s="56"/>
      <c r="N16" s="73" cm="1">
        <f t="array" ref="N16">_xll.DBR($A$5,B16,$D$1,$O$6,$O$5,"Karşılık Sonrası - YTD")</f>
        <v>2182763.3500000006</v>
      </c>
      <c r="O16" s="64"/>
      <c r="P16" s="73" cm="1">
        <f t="array" ref="P16">_xll.DBR($A$6,B16,$D$1,"Departman Toplam",$R$6,$R$5&amp;"-YTD","Amount Cost")</f>
        <v>1993200</v>
      </c>
      <c r="Q16" s="74">
        <f t="shared" si="5"/>
        <v>189563.35000000056</v>
      </c>
      <c r="R16" s="75">
        <f t="shared" si="6"/>
        <v>9.5105032109171456E-2</v>
      </c>
      <c r="S16" s="73" cm="1">
        <f t="array" ref="S16">_xll.DBR($A$6,B16,$D$1,"Departman Toplam",$U$6,$U$5&amp;"-YTD","Amount Cost")</f>
        <v>1934550</v>
      </c>
      <c r="T16" s="74">
        <f t="shared" si="7"/>
        <v>248213.35000000056</v>
      </c>
      <c r="U16" s="75">
        <f t="shared" si="8"/>
        <v>0.12830547155669306</v>
      </c>
      <c r="V16" s="73" cm="1">
        <f t="array" ref="V16">_xll.DBR($A$5,B16,$D$1,$W$6,$W$5,"Karşılık Sonrası - YTD")</f>
        <v>1294816.6499999999</v>
      </c>
      <c r="W16" s="75">
        <f t="shared" si="9"/>
        <v>0.6857702208262465</v>
      </c>
    </row>
    <row r="17" spans="2:23">
      <c r="B17" s="56" t="s">
        <v>187</v>
      </c>
      <c r="C17" s="73" cm="1">
        <f t="array" ref="C17">_xll.DBR($A$5,B17,$D$1,$D$6,$D$5,"Karşlılık Sonrası - Aylık")</f>
        <v>0</v>
      </c>
      <c r="D17" s="64"/>
      <c r="E17" s="73" cm="1">
        <f t="array" ref="E17">_xll.DBR($A$6,B17,$D$1,"Departman Toplam",$G$6,$G$5,"Amount Cost")</f>
        <v>182720</v>
      </c>
      <c r="F17" s="74">
        <f t="shared" si="0"/>
        <v>-182720</v>
      </c>
      <c r="G17" s="75">
        <f t="shared" si="1"/>
        <v>-1</v>
      </c>
      <c r="H17" s="73" cm="1">
        <f t="array" ref="H17">_xll.DBR($A$6,B17,$D$1,"Departman Toplam",$J$6,$J$5,"Amount Cost")</f>
        <v>173840</v>
      </c>
      <c r="I17" s="74">
        <f t="shared" si="2"/>
        <v>-173840</v>
      </c>
      <c r="J17" s="75">
        <f t="shared" si="3"/>
        <v>-1</v>
      </c>
      <c r="K17" s="73" cm="1">
        <f t="array" ref="K17">_xll.DBR($A$5,B17,$D$1,$L$6,$L$5,"Karşlılık Sonrası - Aylık")</f>
        <v>98860.800000000003</v>
      </c>
      <c r="L17" s="75">
        <f t="shared" si="4"/>
        <v>-1</v>
      </c>
      <c r="M17" s="56"/>
      <c r="N17" s="73" cm="1">
        <f t="array" ref="N17">_xll.DBR($A$5,B17,$D$1,$O$6,$O$5,"Karşılık Sonrası - YTD")</f>
        <v>1813497.5999999999</v>
      </c>
      <c r="O17" s="64"/>
      <c r="P17" s="73" cm="1">
        <f t="array" ref="P17">_xll.DBR($A$6,B17,$D$1,"Departman Toplam",$R$6,$R$5&amp;"-YTD","Amount Cost")</f>
        <v>2013760</v>
      </c>
      <c r="Q17" s="74">
        <f t="shared" si="5"/>
        <v>-200262.40000000014</v>
      </c>
      <c r="R17" s="75">
        <f t="shared" si="6"/>
        <v>-9.9447004608295003E-2</v>
      </c>
      <c r="S17" s="73" cm="1">
        <f t="array" ref="S17">_xll.DBR($A$6,B17,$D$1,"Departman Toplam",$U$6,$U$5&amp;"-YTD","Amount Cost")</f>
        <v>1992617.6</v>
      </c>
      <c r="T17" s="74">
        <f t="shared" si="7"/>
        <v>-179120.00000000023</v>
      </c>
      <c r="U17" s="75">
        <f t="shared" si="8"/>
        <v>-8.9891808644067095E-2</v>
      </c>
      <c r="V17" s="73" cm="1">
        <f t="array" ref="V17">_xll.DBR($A$5,B17,$D$1,$W$6,$W$5,"Karşılık Sonrası - YTD")</f>
        <v>1053623.46</v>
      </c>
      <c r="W17" s="75">
        <f t="shared" si="9"/>
        <v>0.72120085481012342</v>
      </c>
    </row>
    <row r="18" spans="2:23">
      <c r="B18" s="56" t="s">
        <v>188</v>
      </c>
      <c r="C18" s="73" cm="1">
        <f t="array" ref="C18">_xll.DBR($A$5,B18,$D$1,$D$6,$D$5,"Karşlılık Sonrası - Aylık")</f>
        <v>1183220.52</v>
      </c>
      <c r="D18" s="64"/>
      <c r="E18" s="73" cm="1">
        <f t="array" ref="E18">_xll.DBR($A$6,B18,$D$1,"Departman Toplam",$G$6,$G$5,"Amount Cost")</f>
        <v>24909882.877108205</v>
      </c>
      <c r="F18" s="74">
        <f t="shared" si="0"/>
        <v>-23726662.357108206</v>
      </c>
      <c r="G18" s="75">
        <f t="shared" si="1"/>
        <v>-0.95249995650973696</v>
      </c>
      <c r="H18" s="73" cm="1">
        <f t="array" ref="H18">_xll.DBR($A$6,B18,$D$1,"Departman Toplam",$J$6,$J$5,"Amount Cost")</f>
        <v>17494816.100770898</v>
      </c>
      <c r="I18" s="74">
        <f t="shared" si="2"/>
        <v>-16311595.580770899</v>
      </c>
      <c r="J18" s="75">
        <f t="shared" si="3"/>
        <v>-0.93236736452760649</v>
      </c>
      <c r="K18" s="73" cm="1">
        <f t="array" ref="K18">_xll.DBR($A$5,B18,$D$1,$L$6,$L$5,"Karşlılık Sonrası - Aylık")</f>
        <v>16740184.400000004</v>
      </c>
      <c r="L18" s="75">
        <f t="shared" si="4"/>
        <v>-0.9293185492030781</v>
      </c>
      <c r="M18" s="56"/>
      <c r="N18" s="73" cm="1">
        <f t="array" ref="N18">_xll.DBR($A$5,B18,$D$1,$O$6,$O$5,"Karşılık Sonrası - YTD")</f>
        <v>218148353.47000018</v>
      </c>
      <c r="O18" s="64"/>
      <c r="P18" s="73" cm="1">
        <f t="array" ref="P18">_xll.DBR($A$6,B18,$D$1,"Departman Toplam",$R$6,$R$5&amp;"-YTD","Amount Cost")</f>
        <v>256292583.83611017</v>
      </c>
      <c r="Q18" s="74">
        <f t="shared" si="5"/>
        <v>-38144230.366109997</v>
      </c>
      <c r="R18" s="75">
        <f t="shared" si="6"/>
        <v>-0.14883080031102988</v>
      </c>
      <c r="S18" s="73" cm="1">
        <f t="array" ref="S18">_xll.DBR($A$6,B18,$D$1,"Departman Toplam",$U$6,$U$5&amp;"-YTD","Amount Cost")</f>
        <v>231820711.32589605</v>
      </c>
      <c r="T18" s="74">
        <f t="shared" si="7"/>
        <v>-13672357.855895877</v>
      </c>
      <c r="U18" s="75">
        <f t="shared" si="8"/>
        <v>-5.89781550479117E-2</v>
      </c>
      <c r="V18" s="73" cm="1">
        <f t="array" ref="V18">_xll.DBR($A$5,B18,$D$1,$W$6,$W$5,"Karşılık Sonrası - YTD")</f>
        <v>138550998.48000017</v>
      </c>
      <c r="W18" s="75">
        <f t="shared" si="9"/>
        <v>0.57449860241526796</v>
      </c>
    </row>
    <row r="19" spans="2:23">
      <c r="B19" s="56" t="s">
        <v>189</v>
      </c>
      <c r="C19" s="73" cm="1">
        <f t="array" ref="C19">_xll.DBR($A$5,B19,$D$1,$D$6,$D$5,"Karşlılık Sonrası - Aylık")</f>
        <v>0</v>
      </c>
      <c r="D19" s="64"/>
      <c r="E19" s="73" cm="1">
        <f t="array" ref="E19">_xll.DBR($A$6,B19,$D$1,"Departman Toplam",$G$6,$G$5,"Amount Cost")</f>
        <v>6702149.8285714295</v>
      </c>
      <c r="F19" s="74">
        <f t="shared" si="0"/>
        <v>-6702149.8285714295</v>
      </c>
      <c r="G19" s="75">
        <f t="shared" si="1"/>
        <v>-1</v>
      </c>
      <c r="H19" s="73" cm="1">
        <f t="array" ref="H19">_xll.DBR($A$6,B19,$D$1,"Departman Toplam",$J$6,$J$5,"Amount Cost")</f>
        <v>4777776.4499999713</v>
      </c>
      <c r="I19" s="74">
        <f t="shared" si="2"/>
        <v>-4777776.4499999713</v>
      </c>
      <c r="J19" s="75">
        <f t="shared" si="3"/>
        <v>-1</v>
      </c>
      <c r="K19" s="73" cm="1">
        <f t="array" ref="K19">_xll.DBR($A$5,B19,$D$1,$L$6,$L$5,"Karşlılık Sonrası - Aylık")</f>
        <v>3807835.3199999956</v>
      </c>
      <c r="L19" s="75">
        <f t="shared" si="4"/>
        <v>-1</v>
      </c>
      <c r="M19" s="56"/>
      <c r="N19" s="73" cm="1">
        <f t="array" ref="N19">_xll.DBR($A$5,B19,$D$1,$O$6,$O$5,"Karşılık Sonrası - YTD")</f>
        <v>49984578.36999999</v>
      </c>
      <c r="O19" s="64"/>
      <c r="P19" s="73" cm="1">
        <f t="array" ref="P19">_xll.DBR($A$6,B19,$D$1,"Departman Toplam",$R$6,$R$5&amp;"-YTD","Amount Cost")</f>
        <v>67482010.285714298</v>
      </c>
      <c r="Q19" s="74">
        <f t="shared" si="5"/>
        <v>-17497431.915714309</v>
      </c>
      <c r="R19" s="75">
        <f t="shared" si="6"/>
        <v>-0.25929031814006959</v>
      </c>
      <c r="S19" s="73" cm="1">
        <f t="array" ref="S19">_xll.DBR($A$6,B19,$D$1,"Departman Toplam",$U$6,$U$5&amp;"-YTD","Amount Cost")</f>
        <v>54621511.279999956</v>
      </c>
      <c r="T19" s="74">
        <f t="shared" si="7"/>
        <v>-4636932.9099999666</v>
      </c>
      <c r="U19" s="75">
        <f t="shared" si="8"/>
        <v>-8.489206543975307E-2</v>
      </c>
      <c r="V19" s="73" cm="1">
        <f t="array" ref="V19">_xll.DBR($A$5,B19,$D$1,$W$6,$W$5,"Karşılık Sonrası - YTD")</f>
        <v>34939946.580000013</v>
      </c>
      <c r="W19" s="75">
        <f t="shared" si="9"/>
        <v>0.4305854262127487</v>
      </c>
    </row>
    <row r="20" spans="2:23">
      <c r="B20" s="56" t="s">
        <v>190</v>
      </c>
      <c r="C20" s="73" cm="1">
        <f t="array" ref="C20">_xll.DBR($A$5,B20,$D$1,$D$6,$D$5,"Karşlılık Sonrası - Aylık")</f>
        <v>0</v>
      </c>
      <c r="D20" s="64"/>
      <c r="E20" s="73" cm="1">
        <f t="array" ref="E20">_xll.DBR($A$6,B20,$D$1,"Departman Toplam",$G$6,$G$5,"Amount Cost")</f>
        <v>3310283.0632643937</v>
      </c>
      <c r="F20" s="74">
        <f t="shared" si="0"/>
        <v>-3310283.0632643937</v>
      </c>
      <c r="G20" s="75">
        <f t="shared" si="1"/>
        <v>-1</v>
      </c>
      <c r="H20" s="73" cm="1">
        <f t="array" ref="H20">_xll.DBR($A$6,B20,$D$1,"Departman Toplam",$J$6,$J$5,"Amount Cost")</f>
        <v>2330992.2525000018</v>
      </c>
      <c r="I20" s="74">
        <f t="shared" si="2"/>
        <v>-2330992.2525000018</v>
      </c>
      <c r="J20" s="75">
        <f t="shared" si="3"/>
        <v>-1</v>
      </c>
      <c r="K20" s="73" cm="1">
        <f t="array" ref="K20">_xll.DBR($A$5,B20,$D$1,$L$6,$L$5,"Karşlılık Sonrası - Aylık")</f>
        <v>2221502.27</v>
      </c>
      <c r="L20" s="75">
        <f t="shared" si="4"/>
        <v>-1</v>
      </c>
      <c r="M20" s="56"/>
      <c r="N20" s="73" cm="1">
        <f t="array" ref="N20">_xll.DBR($A$5,B20,$D$1,$O$6,$O$5,"Karşılık Sonrası - YTD")</f>
        <v>28543868.370000005</v>
      </c>
      <c r="O20" s="64"/>
      <c r="P20" s="73" cm="1">
        <f t="array" ref="P20">_xll.DBR($A$6,B20,$D$1,"Departman Toplam",$R$6,$R$5&amp;"-YTD","Amount Cost")</f>
        <v>34077277.052962169</v>
      </c>
      <c r="Q20" s="74">
        <f t="shared" si="5"/>
        <v>-5533408.6829621643</v>
      </c>
      <c r="R20" s="75">
        <f t="shared" si="6"/>
        <v>-0.16237825206404433</v>
      </c>
      <c r="S20" s="73" cm="1">
        <f t="array" ref="S20">_xll.DBR($A$6,B20,$D$1,"Departman Toplam",$U$6,$U$5&amp;"-YTD","Amount Cost")</f>
        <v>30454262.980266657</v>
      </c>
      <c r="T20" s="74">
        <f t="shared" si="7"/>
        <v>-1910394.610266652</v>
      </c>
      <c r="U20" s="75">
        <f t="shared" si="8"/>
        <v>-6.2729957100079017E-2</v>
      </c>
      <c r="V20" s="73" cm="1">
        <f t="array" ref="V20">_xll.DBR($A$5,B20,$D$1,$W$6,$W$5,"Karşılık Sonrası - YTD")</f>
        <v>19137864.840000015</v>
      </c>
      <c r="W20" s="75">
        <f t="shared" si="9"/>
        <v>0.4914865690941928</v>
      </c>
    </row>
    <row r="21" spans="2:23">
      <c r="B21" s="56" t="s">
        <v>191</v>
      </c>
      <c r="C21" s="73" cm="1">
        <f t="array" ref="C21">_xll.DBR($A$5,B21,$D$1,$D$6,$D$5,"Karşlılık Sonrası - Aylık")</f>
        <v>0</v>
      </c>
      <c r="D21" s="64"/>
      <c r="E21" s="73" cm="1">
        <f t="array" ref="E21">_xll.DBR($A$6,B21,$D$1,"Departman Toplam",$G$6,$G$5,"Amount Cost")</f>
        <v>1078060</v>
      </c>
      <c r="F21" s="74">
        <f t="shared" si="0"/>
        <v>-1078060</v>
      </c>
      <c r="G21" s="75">
        <f t="shared" si="1"/>
        <v>-1</v>
      </c>
      <c r="H21" s="73" cm="1">
        <f t="array" ref="H21">_xll.DBR($A$6,B21,$D$1,"Departman Toplam",$J$6,$J$5,"Amount Cost")</f>
        <v>1090380</v>
      </c>
      <c r="I21" s="74">
        <f t="shared" si="2"/>
        <v>-1090380</v>
      </c>
      <c r="J21" s="75">
        <f t="shared" si="3"/>
        <v>-1</v>
      </c>
      <c r="K21" s="73" cm="1">
        <f t="array" ref="K21">_xll.DBR($A$5,B21,$D$1,$L$6,$L$5,"Karşlılık Sonrası - Aylık")</f>
        <v>427249.72</v>
      </c>
      <c r="L21" s="75">
        <f t="shared" si="4"/>
        <v>-1</v>
      </c>
      <c r="M21" s="56"/>
      <c r="N21" s="73" cm="1">
        <f t="array" ref="N21">_xll.DBR($A$5,B21,$D$1,$O$6,$O$5,"Karşılık Sonrası - YTD")</f>
        <v>5748108.7200000007</v>
      </c>
      <c r="O21" s="64"/>
      <c r="P21" s="73" cm="1">
        <f t="array" ref="P21">_xll.DBR($A$6,B21,$D$1,"Departman Toplam",$R$6,$R$5&amp;"-YTD","Amount Cost")</f>
        <v>11108840</v>
      </c>
      <c r="Q21" s="74">
        <f t="shared" si="5"/>
        <v>-5360731.2799999993</v>
      </c>
      <c r="R21" s="75">
        <f t="shared" si="6"/>
        <v>-0.48256445137386078</v>
      </c>
      <c r="S21" s="73" cm="1">
        <f t="array" ref="S21">_xll.DBR($A$6,B21,$D$1,"Departman Toplam",$U$6,$U$5&amp;"-YTD","Amount Cost")</f>
        <v>7454135.8100000005</v>
      </c>
      <c r="T21" s="74">
        <f t="shared" si="7"/>
        <v>-1706027.0899999999</v>
      </c>
      <c r="U21" s="75">
        <f t="shared" si="8"/>
        <v>-0.2288698694906123</v>
      </c>
      <c r="V21" s="73" cm="1">
        <f t="array" ref="V21">_xll.DBR($A$5,B21,$D$1,$W$6,$W$5,"Karşılık Sonrası - YTD")</f>
        <v>3768719.6999999988</v>
      </c>
      <c r="W21" s="75">
        <f t="shared" si="9"/>
        <v>0.52521523954142901</v>
      </c>
    </row>
    <row r="22" spans="2:23">
      <c r="B22" s="56" t="s">
        <v>89</v>
      </c>
      <c r="C22" s="73" cm="1">
        <f t="array" ref="C22">_xll.DBR($A$5,B22,$D$1,$D$6,$D$5,"Karşlılık Sonrası - Aylık")</f>
        <v>214.12</v>
      </c>
      <c r="D22" s="64"/>
      <c r="E22" s="73" cm="1">
        <f t="array" ref="E22">_xll.DBR($A$6,B22,$D$1,"Departman Toplam",$G$6,$G$5,"Amount Cost")</f>
        <v>6799846.5000000009</v>
      </c>
      <c r="F22" s="74">
        <f t="shared" si="0"/>
        <v>-6799632.3800000008</v>
      </c>
      <c r="G22" s="75">
        <f t="shared" si="1"/>
        <v>-0.99996851105388918</v>
      </c>
      <c r="H22" s="73" cm="1">
        <f t="array" ref="H22">_xll.DBR($A$6,B22,$D$1,"Departman Toplam",$J$6,$J$5,"Amount Cost")</f>
        <v>7328446.4000000013</v>
      </c>
      <c r="I22" s="74">
        <f t="shared" si="2"/>
        <v>-7328232.2800000012</v>
      </c>
      <c r="J22" s="75">
        <f t="shared" si="3"/>
        <v>-0.99997078234753822</v>
      </c>
      <c r="K22" s="73" cm="1">
        <f t="array" ref="K22">_xll.DBR($A$5,B22,$D$1,$L$6,$L$5,"Karşlılık Sonrası - Aylık")</f>
        <v>4274848.3500000006</v>
      </c>
      <c r="L22" s="75">
        <f t="shared" si="4"/>
        <v>-0.99994991167347491</v>
      </c>
      <c r="M22" s="56"/>
      <c r="N22" s="73" cm="1">
        <f t="array" ref="N22">_xll.DBR($A$5,B22,$D$1,$O$6,$O$5,"Karşılık Sonrası - YTD")</f>
        <v>47631333.349999987</v>
      </c>
      <c r="O22" s="64"/>
      <c r="P22" s="73" cm="1">
        <f t="array" ref="P22">_xll.DBR($A$6,B22,$D$1,"Departman Toplam",$R$6,$R$5&amp;"-YTD","Amount Cost")</f>
        <v>65863657.899999999</v>
      </c>
      <c r="Q22" s="74">
        <f t="shared" si="5"/>
        <v>-18232324.550000012</v>
      </c>
      <c r="R22" s="75">
        <f t="shared" si="6"/>
        <v>-0.27681919181716164</v>
      </c>
      <c r="S22" s="73" cm="1">
        <f t="array" ref="S22">_xll.DBR($A$6,B22,$D$1,"Departman Toplam",$U$6,$U$5&amp;"-YTD","Amount Cost")</f>
        <v>56360296.580000006</v>
      </c>
      <c r="T22" s="74">
        <f t="shared" si="7"/>
        <v>-8728963.2300000191</v>
      </c>
      <c r="U22" s="75">
        <f t="shared" si="8"/>
        <v>-0.15487787963659466</v>
      </c>
      <c r="V22" s="73" cm="1">
        <f t="array" ref="V22">_xll.DBR($A$5,B22,$D$1,$W$6,$W$5,"Karşılık Sonrası - YTD")</f>
        <v>29969327.920000006</v>
      </c>
      <c r="W22" s="75">
        <f t="shared" si="9"/>
        <v>0.58933605308557013</v>
      </c>
    </row>
    <row r="23" spans="2:23">
      <c r="B23" s="56" t="s">
        <v>90</v>
      </c>
      <c r="C23" s="73" cm="1">
        <f t="array" ref="C23">_xll.DBR($A$5,B23,$D$1,$D$6,$D$5,"Karşlılık Sonrası - Aylık")</f>
        <v>0</v>
      </c>
      <c r="D23" s="64"/>
      <c r="E23" s="73" cm="1">
        <f t="array" ref="E23">_xll.DBR($A$6,B23,$D$1,"Departman Toplam",$G$6,$G$5,"Amount Cost")</f>
        <v>21259476.599999893</v>
      </c>
      <c r="F23" s="74">
        <f t="shared" si="0"/>
        <v>-21259476.599999893</v>
      </c>
      <c r="G23" s="75">
        <f t="shared" si="1"/>
        <v>-1</v>
      </c>
      <c r="H23" s="73" cm="1">
        <f t="array" ref="H23">_xll.DBR($A$6,B23,$D$1,"Departman Toplam",$J$6,$J$5,"Amount Cost")</f>
        <v>20142892.319999956</v>
      </c>
      <c r="I23" s="74">
        <f t="shared" si="2"/>
        <v>-20142892.319999956</v>
      </c>
      <c r="J23" s="75">
        <f t="shared" si="3"/>
        <v>-1</v>
      </c>
      <c r="K23" s="73" cm="1">
        <f t="array" ref="K23">_xll.DBR($A$5,B23,$D$1,$L$6,$L$5,"Karşlılık Sonrası - Aylık")</f>
        <v>18048340.510000005</v>
      </c>
      <c r="L23" s="75">
        <f t="shared" si="4"/>
        <v>-1</v>
      </c>
      <c r="M23" s="56"/>
      <c r="N23" s="73" cm="1">
        <f t="array" ref="N23">_xll.DBR($A$5,B23,$D$1,$O$6,$O$5,"Karşılık Sonrası - YTD")</f>
        <v>220053033.68999982</v>
      </c>
      <c r="O23" s="64"/>
      <c r="P23" s="73" cm="1">
        <f t="array" ref="P23">_xll.DBR($A$6,B23,$D$1,"Departman Toplam",$R$6,$R$5&amp;"-YTD","Amount Cost")</f>
        <v>233643947.89999998</v>
      </c>
      <c r="Q23" s="74">
        <f t="shared" si="5"/>
        <v>-13590914.210000157</v>
      </c>
      <c r="R23" s="75">
        <f t="shared" si="6"/>
        <v>-5.8169339853036094E-2</v>
      </c>
      <c r="S23" s="73" cm="1">
        <f t="array" ref="S23">_xll.DBR($A$6,B23,$D$1,"Departman Toplam",$U$6,$U$5&amp;"-YTD","Amount Cost")</f>
        <v>240480901.46999997</v>
      </c>
      <c r="T23" s="74">
        <f t="shared" si="7"/>
        <v>-20427867.78000015</v>
      </c>
      <c r="U23" s="75">
        <f t="shared" si="8"/>
        <v>-8.4945904872818057E-2</v>
      </c>
      <c r="V23" s="73" cm="1">
        <f t="array" ref="V23">_xll.DBR($A$5,B23,$D$1,$W$6,$W$5,"Karşılık Sonrası - YTD")</f>
        <v>128929094.59000003</v>
      </c>
      <c r="W23" s="75">
        <f t="shared" si="9"/>
        <v>0.7067756070868082</v>
      </c>
    </row>
    <row r="24" spans="2:23">
      <c r="B24" s="56" t="s">
        <v>91</v>
      </c>
      <c r="C24" s="73" cm="1">
        <f t="array" ref="C24">_xll.DBR($A$5,B24,$D$1,$D$6,$D$5,"Karşlılık Sonrası - Aylık")</f>
        <v>0</v>
      </c>
      <c r="D24" s="64"/>
      <c r="E24" s="73" cm="1">
        <f t="array" ref="E24">_xll.DBR($A$6,B24,$D$1,"Departman Toplam",$G$6,$G$5,"Amount Cost")</f>
        <v>157119.07999999999</v>
      </c>
      <c r="F24" s="74">
        <f t="shared" si="0"/>
        <v>-157119.07999999999</v>
      </c>
      <c r="G24" s="75">
        <f t="shared" si="1"/>
        <v>-1</v>
      </c>
      <c r="H24" s="73" cm="1">
        <f t="array" ref="H24">_xll.DBR($A$6,B24,$D$1,"Departman Toplam",$J$6,$J$5,"Amount Cost")</f>
        <v>140030.07999999999</v>
      </c>
      <c r="I24" s="74">
        <f t="shared" si="2"/>
        <v>-140030.07999999999</v>
      </c>
      <c r="J24" s="75">
        <f t="shared" si="3"/>
        <v>-1</v>
      </c>
      <c r="K24" s="73" cm="1">
        <f t="array" ref="K24">_xll.DBR($A$5,B24,$D$1,$L$6,$L$5,"Karşlılık Sonrası - Aylık")</f>
        <v>90304.949999999953</v>
      </c>
      <c r="L24" s="75">
        <f t="shared" si="4"/>
        <v>-1</v>
      </c>
      <c r="M24" s="56"/>
      <c r="N24" s="73" cm="1">
        <f t="array" ref="N24">_xll.DBR($A$5,B24,$D$1,$O$6,$O$5,"Karşılık Sonrası - YTD")</f>
        <v>757892.76000000257</v>
      </c>
      <c r="O24" s="64"/>
      <c r="P24" s="73" cm="1">
        <f t="array" ref="P24">_xll.DBR($A$6,B24,$D$1,"Departman Toplam",$R$6,$R$5&amp;"-YTD","Amount Cost")</f>
        <v>1751473.88</v>
      </c>
      <c r="Q24" s="74">
        <f t="shared" si="5"/>
        <v>-993581.11999999732</v>
      </c>
      <c r="R24" s="75">
        <f t="shared" si="6"/>
        <v>-0.56728286464654409</v>
      </c>
      <c r="S24" s="73" cm="1">
        <f t="array" ref="S24">_xll.DBR($A$6,B24,$D$1,"Departman Toplam",$U$6,$U$5&amp;"-YTD","Amount Cost")</f>
        <v>980691.3300000031</v>
      </c>
      <c r="T24" s="74">
        <f t="shared" si="7"/>
        <v>-222798.57000000053</v>
      </c>
      <c r="U24" s="75">
        <f t="shared" si="8"/>
        <v>-0.22718521433242386</v>
      </c>
      <c r="V24" s="73" cm="1">
        <f t="array" ref="V24">_xll.DBR($A$5,B24,$D$1,$W$6,$W$5,"Karşılık Sonrası - YTD")</f>
        <v>1185745.4300000002</v>
      </c>
      <c r="W24" s="75">
        <f t="shared" si="9"/>
        <v>-0.36083012354515043</v>
      </c>
    </row>
    <row r="25" spans="2:23">
      <c r="B25" s="56" t="s">
        <v>92</v>
      </c>
      <c r="C25" s="73" cm="1">
        <f t="array" ref="C25">_xll.DBR($A$5,B25,$D$1,$D$6,$D$5,"Karşlılık Sonrası - Aylık")</f>
        <v>0</v>
      </c>
      <c r="D25" s="64"/>
      <c r="E25" s="73" cm="1">
        <f t="array" ref="E25">_xll.DBR($A$6,B25,$D$1,"Departman Toplam",$G$6,$G$5,"Amount Cost")</f>
        <v>2011403</v>
      </c>
      <c r="F25" s="74">
        <f t="shared" si="0"/>
        <v>-2011403</v>
      </c>
      <c r="G25" s="75">
        <f t="shared" si="1"/>
        <v>-1</v>
      </c>
      <c r="H25" s="73" cm="1">
        <f t="array" ref="H25">_xll.DBR($A$6,B25,$D$1,"Departman Toplam",$J$6,$J$5,"Amount Cost")</f>
        <v>32079898</v>
      </c>
      <c r="I25" s="74">
        <f t="shared" si="2"/>
        <v>-32079898</v>
      </c>
      <c r="J25" s="75">
        <f t="shared" si="3"/>
        <v>-1</v>
      </c>
      <c r="K25" s="73" cm="1">
        <f t="array" ref="K25">_xll.DBR($A$5,B25,$D$1,$L$6,$L$5,"Karşlılık Sonrası - Aylık")</f>
        <v>1748790.2199999997</v>
      </c>
      <c r="L25" s="75">
        <f t="shared" si="4"/>
        <v>-1</v>
      </c>
      <c r="M25" s="56"/>
      <c r="N25" s="73" cm="1">
        <f t="array" ref="N25">_xll.DBR($A$5,B25,$D$1,$O$6,$O$5,"Karşılık Sonrası - YTD")</f>
        <v>160427843.61999995</v>
      </c>
      <c r="O25" s="64"/>
      <c r="P25" s="73" cm="1">
        <f t="array" ref="P25">_xll.DBR($A$6,B25,$D$1,"Departman Toplam",$R$6,$R$5&amp;"-YTD","Amount Cost")</f>
        <v>20395075</v>
      </c>
      <c r="Q25" s="74">
        <f t="shared" si="5"/>
        <v>140032768.61999995</v>
      </c>
      <c r="R25" s="75">
        <f t="shared" si="6"/>
        <v>6.866009005605517</v>
      </c>
      <c r="S25" s="73" cm="1">
        <f t="array" ref="S25">_xll.DBR($A$6,B25,$D$1,"Departman Toplam",$U$6,$U$5&amp;"-YTD","Amount Cost")</f>
        <v>170371192.58999997</v>
      </c>
      <c r="T25" s="74">
        <f t="shared" si="7"/>
        <v>-9943348.9700000286</v>
      </c>
      <c r="U25" s="75">
        <f t="shared" si="8"/>
        <v>-5.8362853595377476E-2</v>
      </c>
      <c r="V25" s="73" cm="1">
        <f t="array" ref="V25">_xll.DBR($A$5,B25,$D$1,$W$6,$W$5,"Karşılık Sonrası - YTD")</f>
        <v>47188235.469999991</v>
      </c>
      <c r="W25" s="75">
        <f t="shared" si="9"/>
        <v>2.3997423726935549</v>
      </c>
    </row>
    <row r="26" spans="2:23">
      <c r="B26" s="56" t="s">
        <v>93</v>
      </c>
      <c r="C26" s="73" cm="1">
        <f t="array" ref="C26">_xll.DBR($A$5,B26,$D$1,$D$6,$D$5,"Karşlılık Sonrası - Aylık")</f>
        <v>0</v>
      </c>
      <c r="D26" s="64"/>
      <c r="E26" s="73" cm="1">
        <f t="array" ref="E26">_xll.DBR($A$6,B26,$D$1,"Departman Toplam",$G$6,$G$5,"Amount Cost")</f>
        <v>138450</v>
      </c>
      <c r="F26" s="74">
        <f t="shared" si="0"/>
        <v>-138450</v>
      </c>
      <c r="G26" s="75">
        <f t="shared" si="1"/>
        <v>-1</v>
      </c>
      <c r="H26" s="73" cm="1">
        <f t="array" ref="H26">_xll.DBR($A$6,B26,$D$1,"Departman Toplam",$J$6,$J$5,"Amount Cost")</f>
        <v>130440</v>
      </c>
      <c r="I26" s="74">
        <f t="shared" si="2"/>
        <v>-130440</v>
      </c>
      <c r="J26" s="75">
        <f t="shared" si="3"/>
        <v>-1</v>
      </c>
      <c r="K26" s="73" cm="1">
        <f t="array" ref="K26">_xll.DBR($A$5,B26,$D$1,$L$6,$L$5,"Karşlılık Sonrası - Aylık")</f>
        <v>99000</v>
      </c>
      <c r="L26" s="75">
        <f t="shared" si="4"/>
        <v>-1</v>
      </c>
      <c r="M26" s="56"/>
      <c r="N26" s="73" cm="1">
        <f t="array" ref="N26">_xll.DBR($A$5,B26,$D$1,$O$6,$O$5,"Karşılık Sonrası - YTD")</f>
        <v>1202500</v>
      </c>
      <c r="O26" s="64"/>
      <c r="P26" s="73" cm="1">
        <f t="array" ref="P26">_xll.DBR($A$6,B26,$D$1,"Departman Toplam",$R$6,$R$5&amp;"-YTD","Amount Cost")</f>
        <v>1522950</v>
      </c>
      <c r="Q26" s="74">
        <f t="shared" si="5"/>
        <v>-320450</v>
      </c>
      <c r="R26" s="75">
        <f t="shared" si="6"/>
        <v>-0.2104139991463935</v>
      </c>
      <c r="S26" s="73" cm="1">
        <f t="array" ref="S26">_xll.DBR($A$6,B26,$D$1,"Departman Toplam",$U$6,$U$5&amp;"-YTD","Amount Cost")</f>
        <v>1291665</v>
      </c>
      <c r="T26" s="74">
        <f t="shared" si="7"/>
        <v>-89165</v>
      </c>
      <c r="U26" s="75">
        <f t="shared" si="8"/>
        <v>-6.9031056814266856E-2</v>
      </c>
      <c r="V26" s="73" cm="1">
        <f t="array" ref="V26">_xll.DBR($A$5,B26,$D$1,$W$6,$W$5,"Karşılık Sonrası - YTD")</f>
        <v>842013.34</v>
      </c>
      <c r="W26" s="75">
        <f t="shared" si="9"/>
        <v>0.42812464230079783</v>
      </c>
    </row>
    <row r="27" spans="2:23">
      <c r="B27" s="56" t="s">
        <v>94</v>
      </c>
      <c r="C27" s="73" cm="1">
        <f t="array" ref="C27">_xll.DBR($A$5,B27,$D$1,$D$6,$D$5,"Karşlılık Sonrası - Aylık")</f>
        <v>0</v>
      </c>
      <c r="D27" s="64"/>
      <c r="E27" s="73" cm="1">
        <f t="array" ref="E27">_xll.DBR($A$6,B27,$D$1,"Departman Toplam",$G$6,$G$5,"Amount Cost")</f>
        <v>4760370.4882899998</v>
      </c>
      <c r="F27" s="74">
        <f t="shared" si="0"/>
        <v>-4760370.4882899998</v>
      </c>
      <c r="G27" s="75">
        <f t="shared" si="1"/>
        <v>-1</v>
      </c>
      <c r="H27" s="73" cm="1">
        <f t="array" ref="H27">_xll.DBR($A$6,B27,$D$1,"Departman Toplam",$J$6,$J$5,"Amount Cost")</f>
        <v>5546298.7306899996</v>
      </c>
      <c r="I27" s="74">
        <f t="shared" si="2"/>
        <v>-5546298.7306899996</v>
      </c>
      <c r="J27" s="75">
        <f t="shared" si="3"/>
        <v>-1</v>
      </c>
      <c r="K27" s="73" cm="1">
        <f t="array" ref="K27">_xll.DBR($A$5,B27,$D$1,$L$6,$L$5,"Karşlılık Sonrası - Aylık")</f>
        <v>2207091.00428</v>
      </c>
      <c r="L27" s="75">
        <f t="shared" si="4"/>
        <v>-1</v>
      </c>
      <c r="M27" s="56"/>
      <c r="N27" s="73" cm="1">
        <f t="array" ref="N27">_xll.DBR($A$5,B27,$D$1,$O$6,$O$5,"Karşılık Sonrası - YTD")</f>
        <v>56948872.62000002</v>
      </c>
      <c r="O27" s="64"/>
      <c r="P27" s="73" cm="1">
        <f t="array" ref="P27">_xll.DBR($A$6,B27,$D$1,"Departman Toplam",$R$6,$R$5&amp;"-YTD","Amount Cost")</f>
        <v>52265926.799690001</v>
      </c>
      <c r="Q27" s="74">
        <f t="shared" si="5"/>
        <v>4682945.820310019</v>
      </c>
      <c r="R27" s="75">
        <f t="shared" si="6"/>
        <v>8.9598446005893742E-2</v>
      </c>
      <c r="S27" s="73" cm="1">
        <f t="array" ref="S27">_xll.DBR($A$6,B27,$D$1,"Departman Toplam",$U$6,$U$5&amp;"-YTD","Amount Cost")</f>
        <v>62149839.551379986</v>
      </c>
      <c r="T27" s="74">
        <f t="shared" si="7"/>
        <v>-5200966.9313799664</v>
      </c>
      <c r="U27" s="75">
        <f t="shared" si="8"/>
        <v>-8.3684317914936329E-2</v>
      </c>
      <c r="V27" s="73" cm="1">
        <f t="array" ref="V27">_xll.DBR($A$5,B27,$D$1,$W$6,$W$5,"Karşılık Sonrası - YTD")</f>
        <v>27646547.359999999</v>
      </c>
      <c r="W27" s="75">
        <f t="shared" si="9"/>
        <v>1.0598909469033975</v>
      </c>
    </row>
    <row r="28" spans="2:23">
      <c r="B28" s="56" t="s">
        <v>95</v>
      </c>
      <c r="C28" s="73" cm="1">
        <f t="array" ref="C28">_xll.DBR($A$5,B28,$D$1,$D$6,$D$5,"Karşlılık Sonrası - Aylık")</f>
        <v>0</v>
      </c>
      <c r="D28" s="64"/>
      <c r="E28" s="73" cm="1">
        <f t="array" ref="E28">_xll.DBR($A$6,B28,$D$1,"Departman Toplam",$G$6,$G$5,"Amount Cost")</f>
        <v>2960614</v>
      </c>
      <c r="F28" s="74">
        <f t="shared" si="0"/>
        <v>-2960614</v>
      </c>
      <c r="G28" s="75">
        <f t="shared" si="1"/>
        <v>-1</v>
      </c>
      <c r="H28" s="73" cm="1">
        <f t="array" ref="H28">_xll.DBR($A$6,B28,$D$1,"Departman Toplam",$J$6,$J$5,"Amount Cost")</f>
        <v>2402791</v>
      </c>
      <c r="I28" s="74">
        <f t="shared" si="2"/>
        <v>-2402791</v>
      </c>
      <c r="J28" s="75">
        <f t="shared" si="3"/>
        <v>-1</v>
      </c>
      <c r="K28" s="73" cm="1">
        <f t="array" ref="K28">_xll.DBR($A$5,B28,$D$1,$L$6,$L$5,"Karşlılık Sonrası - Aylık")</f>
        <v>1686011.56</v>
      </c>
      <c r="L28" s="75">
        <f t="shared" si="4"/>
        <v>-1</v>
      </c>
      <c r="M28" s="56"/>
      <c r="N28" s="73" cm="1">
        <f t="array" ref="N28">_xll.DBR($A$5,B28,$D$1,$O$6,$O$5,"Karşılık Sonrası - YTD")</f>
        <v>97347199.63000007</v>
      </c>
      <c r="O28" s="64"/>
      <c r="P28" s="73" cm="1">
        <f t="array" ref="P28">_xll.DBR($A$6,B28,$D$1,"Departman Toplam",$R$6,$R$5&amp;"-YTD","Amount Cost")</f>
        <v>111192651</v>
      </c>
      <c r="Q28" s="74">
        <f t="shared" si="5"/>
        <v>-13845451.36999993</v>
      </c>
      <c r="R28" s="75">
        <f t="shared" si="6"/>
        <v>-0.12451768390700506</v>
      </c>
      <c r="S28" s="73" cm="1">
        <f t="array" ref="S28">_xll.DBR($A$6,B28,$D$1,"Departman Toplam",$U$6,$U$5&amp;"-YTD","Amount Cost")</f>
        <v>99508654.409999982</v>
      </c>
      <c r="T28" s="74">
        <f t="shared" si="7"/>
        <v>-2161454.7799999118</v>
      </c>
      <c r="U28" s="75">
        <f t="shared" si="8"/>
        <v>-2.1721274323479339E-2</v>
      </c>
      <c r="V28" s="73" cm="1">
        <f t="array" ref="V28">_xll.DBR($A$5,B28,$D$1,$W$6,$W$5,"Karşılık Sonrası - YTD")</f>
        <v>53234639.420000032</v>
      </c>
      <c r="W28" s="75">
        <f t="shared" si="9"/>
        <v>0.82864391852022456</v>
      </c>
    </row>
    <row r="29" spans="2:23">
      <c r="B29" s="56" t="s">
        <v>96</v>
      </c>
      <c r="C29" s="73" cm="1">
        <f t="array" ref="C29">_xll.DBR($A$5,B29,$D$1,$D$6,$D$5,"Karşlılık Sonrası - Aylık")</f>
        <v>0</v>
      </c>
      <c r="D29" s="64"/>
      <c r="E29" s="73" cm="1">
        <f t="array" ref="E29">_xll.DBR($A$6,B29,$D$1,"Departman Toplam",$G$6,$G$5,"Amount Cost")</f>
        <v>1367960.0291666719</v>
      </c>
      <c r="F29" s="74">
        <f t="shared" si="0"/>
        <v>-1367960.0291666719</v>
      </c>
      <c r="G29" s="75">
        <f t="shared" si="1"/>
        <v>-1</v>
      </c>
      <c r="H29" s="73" cm="1">
        <f t="array" ref="H29">_xll.DBR($A$6,B29,$D$1,"Departman Toplam",$J$6,$J$5,"Amount Cost")</f>
        <v>842150.59833333292</v>
      </c>
      <c r="I29" s="74">
        <f t="shared" si="2"/>
        <v>-842150.59833333292</v>
      </c>
      <c r="J29" s="75">
        <f t="shared" si="3"/>
        <v>-1</v>
      </c>
      <c r="K29" s="73" cm="1">
        <f t="array" ref="K29">_xll.DBR($A$5,B29,$D$1,$L$6,$L$5,"Karşlılık Sonrası - Aylık")</f>
        <v>284640.2099999967</v>
      </c>
      <c r="L29" s="75">
        <f t="shared" si="4"/>
        <v>-1</v>
      </c>
      <c r="M29" s="56"/>
      <c r="N29" s="73" cm="1">
        <f t="array" ref="N29">_xll.DBR($A$5,B29,$D$1,$O$6,$O$5,"Karşılık Sonrası - YTD")</f>
        <v>8322314.6899999995</v>
      </c>
      <c r="O29" s="64"/>
      <c r="P29" s="73" cm="1">
        <f t="array" ref="P29">_xll.DBR($A$6,B29,$D$1,"Departman Toplam",$R$6,$R$5&amp;"-YTD","Amount Cost")</f>
        <v>15044027.47430402</v>
      </c>
      <c r="Q29" s="74">
        <f t="shared" si="5"/>
        <v>-6721712.7843040209</v>
      </c>
      <c r="R29" s="75">
        <f t="shared" si="6"/>
        <v>-0.44680274585944857</v>
      </c>
      <c r="S29" s="73" cm="1">
        <f t="array" ref="S29">_xll.DBR($A$6,B29,$D$1,"Departman Toplam",$U$6,$U$5&amp;"-YTD","Amount Cost")</f>
        <v>13216232.526666678</v>
      </c>
      <c r="T29" s="74">
        <f t="shared" si="7"/>
        <v>-4893917.836666679</v>
      </c>
      <c r="U29" s="75">
        <f t="shared" si="8"/>
        <v>-0.37029598463799085</v>
      </c>
      <c r="V29" s="73" cm="1">
        <f t="array" ref="V29">_xll.DBR($A$5,B29,$D$1,$W$6,$W$5,"Karşılık Sonrası - YTD")</f>
        <v>8704141.8000000212</v>
      </c>
      <c r="W29" s="75">
        <f t="shared" si="9"/>
        <v>-4.3867289707989456E-2</v>
      </c>
    </row>
    <row r="30" spans="2:23">
      <c r="B30" s="56" t="s">
        <v>97</v>
      </c>
      <c r="C30" s="73" cm="1">
        <f t="array" ref="C30">_xll.DBR($A$5,B30,$D$1,$D$6,$D$5,"Karşlılık Sonrası - Aylık")</f>
        <v>16125741</v>
      </c>
      <c r="D30" s="64"/>
      <c r="E30" s="73" cm="1">
        <f t="array" ref="E30">_xll.DBR($A$6,B30,$D$1,"Departman Toplam",$G$6,$G$5,"Amount Cost")</f>
        <v>18527823.829926237</v>
      </c>
      <c r="F30" s="74">
        <f t="shared" si="0"/>
        <v>-2402082.8299262375</v>
      </c>
      <c r="G30" s="75">
        <f t="shared" si="1"/>
        <v>-0.12964732674359633</v>
      </c>
      <c r="H30" s="73" cm="1">
        <f t="array" ref="H30">_xll.DBR($A$6,B30,$D$1,"Departman Toplam",$J$6,$J$5,"Amount Cost")</f>
        <v>7732978.5749999247</v>
      </c>
      <c r="I30" s="74">
        <f t="shared" si="2"/>
        <v>8392762.4250000753</v>
      </c>
      <c r="J30" s="75">
        <f t="shared" si="3"/>
        <v>1.0853207911545464</v>
      </c>
      <c r="K30" s="73" cm="1">
        <f t="array" ref="K30">_xll.DBR($A$5,B30,$D$1,$L$6,$L$5,"Karşlılık Sonrası - Aylık")</f>
        <v>11413619.145729987</v>
      </c>
      <c r="L30" s="75">
        <f t="shared" si="4"/>
        <v>0.41285080517452621</v>
      </c>
      <c r="M30" s="56"/>
      <c r="N30" s="73" cm="1">
        <f t="array" ref="N30">_xll.DBR($A$5,B30,$D$1,$O$6,$O$5,"Karşılık Sonrası - YTD")</f>
        <v>183819574.32000002</v>
      </c>
      <c r="O30" s="64"/>
      <c r="P30" s="73" cm="1">
        <f t="array" ref="P30">_xll.DBR($A$6,B30,$D$1,"Departman Toplam",$R$6,$R$5&amp;"-YTD","Amount Cost")</f>
        <v>203734567.74208707</v>
      </c>
      <c r="Q30" s="74">
        <f t="shared" si="5"/>
        <v>-19914993.422087044</v>
      </c>
      <c r="R30" s="75">
        <f t="shared" si="6"/>
        <v>-9.7749702678329761E-2</v>
      </c>
      <c r="S30" s="73" cm="1">
        <f t="array" ref="S30">_xll.DBR($A$6,B30,$D$1,"Departman Toplam",$U$6,$U$5&amp;"-YTD","Amount Cost")</f>
        <v>175426811.88999993</v>
      </c>
      <c r="T30" s="74">
        <f t="shared" si="7"/>
        <v>8392762.4300000966</v>
      </c>
      <c r="U30" s="75">
        <f t="shared" si="8"/>
        <v>4.7841959501964362E-2</v>
      </c>
      <c r="V30" s="73" cm="1">
        <f t="array" ref="V30">_xll.DBR($A$5,B30,$D$1,$W$6,$W$5,"Karşılık Sonrası - YTD")</f>
        <v>130179856.40000007</v>
      </c>
      <c r="W30" s="75">
        <f t="shared" si="9"/>
        <v>0.41204314863570496</v>
      </c>
    </row>
    <row r="31" spans="2:23">
      <c r="B31" s="56" t="s">
        <v>98</v>
      </c>
      <c r="C31" s="73" cm="1">
        <f t="array" ref="C31">_xll.DBR($A$5,B31,$D$1,$D$6,$D$5,"Karşlılık Sonrası - Aylık")</f>
        <v>-1971604.5999999996</v>
      </c>
      <c r="D31" s="64"/>
      <c r="E31" s="73" cm="1">
        <f t="array" ref="E31">_xll.DBR($A$6,B31,$D$1,"Departman Toplam",$G$6,$G$5,"Amount Cost")</f>
        <v>73501534.421570271</v>
      </c>
      <c r="F31" s="74">
        <f t="shared" si="0"/>
        <v>-75473139.021570265</v>
      </c>
      <c r="G31" s="75">
        <f t="shared" si="1"/>
        <v>-1.0268239923903058</v>
      </c>
      <c r="H31" s="73" cm="1">
        <f t="array" ref="H31">_xll.DBR($A$6,B31,$D$1,"Departman Toplam",$J$6,$J$5,"Amount Cost")</f>
        <v>70261962.766594544</v>
      </c>
      <c r="I31" s="74">
        <f t="shared" si="2"/>
        <v>-72233567.366594538</v>
      </c>
      <c r="J31" s="75">
        <f t="shared" si="3"/>
        <v>-1.0280607674816817</v>
      </c>
      <c r="K31" s="73" cm="1">
        <f t="array" ref="K31">_xll.DBR($A$5,B31,$D$1,$L$6,$L$5,"Karşlılık Sonrası - Aylık")</f>
        <v>38989163.415000007</v>
      </c>
      <c r="L31" s="75">
        <f t="shared" si="4"/>
        <v>-1.0505680149895569</v>
      </c>
      <c r="M31" s="56"/>
      <c r="N31" s="73" cm="1">
        <f t="array" ref="N31">_xll.DBR($A$5,B31,$D$1,$O$6,$O$5,"Karşılık Sonrası - YTD")</f>
        <v>659829324.12999988</v>
      </c>
      <c r="O31" s="64"/>
      <c r="P31" s="73" cm="1">
        <f t="array" ref="P31">_xll.DBR($A$6,B31,$D$1,"Departman Toplam",$R$6,$R$5&amp;"-YTD","Amount Cost")</f>
        <v>744603489.98018503</v>
      </c>
      <c r="Q31" s="74">
        <f t="shared" si="5"/>
        <v>-84774165.850185156</v>
      </c>
      <c r="R31" s="75">
        <f t="shared" si="6"/>
        <v>-0.11385142158337334</v>
      </c>
      <c r="S31" s="73" cm="1">
        <f t="array" ref="S31">_xll.DBR($A$6,B31,$D$1,"Departman Toplam",$U$6,$U$5&amp;"-YTD","Amount Cost")</f>
        <v>734059135.09217608</v>
      </c>
      <c r="T31" s="74">
        <f t="shared" si="7"/>
        <v>-74229810.962176204</v>
      </c>
      <c r="U31" s="75">
        <f t="shared" si="8"/>
        <v>-0.10112238566836328</v>
      </c>
      <c r="V31" s="73" cm="1">
        <f t="array" ref="V31">_xll.DBR($A$5,B31,$D$1,$W$6,$W$5,"Karşılık Sonrası - YTD")</f>
        <v>434277909.57999963</v>
      </c>
      <c r="W31" s="75">
        <f t="shared" si="9"/>
        <v>0.51937114362583237</v>
      </c>
    </row>
    <row r="32" spans="2:23">
      <c r="B32" s="56" t="s">
        <v>99</v>
      </c>
      <c r="C32" s="73" cm="1">
        <f t="array" ref="C32">_xll.DBR($A$5,B32,$D$1,$D$6,$D$5,"Karşlılık Sonrası - Aylık")</f>
        <v>0</v>
      </c>
      <c r="D32" s="64"/>
      <c r="E32" s="73" cm="1">
        <f t="array" ref="E32">_xll.DBR($A$6,B32,$D$1,"Departman Toplam",$G$6,$G$5,"Amount Cost")</f>
        <v>0</v>
      </c>
      <c r="F32" s="74">
        <f t="shared" si="0"/>
        <v>0</v>
      </c>
      <c r="G32" s="75">
        <f t="shared" si="1"/>
        <v>0</v>
      </c>
      <c r="H32" s="73" cm="1">
        <f t="array" ref="H32">_xll.DBR($A$6,B32,$D$1,"Departman Toplam",$J$6,$J$5,"Amount Cost")</f>
        <v>0</v>
      </c>
      <c r="I32" s="74">
        <f t="shared" si="2"/>
        <v>0</v>
      </c>
      <c r="J32" s="75">
        <f t="shared" si="3"/>
        <v>0</v>
      </c>
      <c r="K32" s="73" cm="1">
        <f t="array" ref="K32">_xll.DBR($A$5,B32,$D$1,$L$6,$L$5,"Karşlılık Sonrası - Aylık")</f>
        <v>0</v>
      </c>
      <c r="L32" s="75">
        <f t="shared" si="4"/>
        <v>0</v>
      </c>
      <c r="M32" s="56"/>
      <c r="N32" s="73" cm="1">
        <f t="array" ref="N32">_xll.DBR($A$5,B32,$D$1,$O$6,$O$5,"Karşılık Sonrası - YTD")</f>
        <v>0</v>
      </c>
      <c r="O32" s="64"/>
      <c r="P32" s="73" cm="1">
        <f t="array" ref="P32">_xll.DBR($A$6,B32,$D$1,"Departman Toplam",$R$6,$R$5&amp;"-YTD","Amount Cost")</f>
        <v>0</v>
      </c>
      <c r="Q32" s="74">
        <f t="shared" si="5"/>
        <v>0</v>
      </c>
      <c r="R32" s="75">
        <f t="shared" si="6"/>
        <v>0</v>
      </c>
      <c r="S32" s="73" cm="1">
        <f t="array" ref="S32">_xll.DBR($A$6,B32,$D$1,"Departman Toplam",$U$6,$U$5&amp;"-YTD","Amount Cost")</f>
        <v>0</v>
      </c>
      <c r="T32" s="74">
        <f t="shared" si="7"/>
        <v>0</v>
      </c>
      <c r="U32" s="75">
        <f t="shared" si="8"/>
        <v>0</v>
      </c>
      <c r="V32" s="73" cm="1">
        <f t="array" ref="V32">_xll.DBR($A$5,B32,$D$1,$W$6,$W$5,"Karşılık Sonrası - YTD")</f>
        <v>0</v>
      </c>
      <c r="W32" s="75">
        <f t="shared" si="9"/>
        <v>0</v>
      </c>
    </row>
    <row r="33" spans="2:23">
      <c r="B33" s="68" t="s">
        <v>100</v>
      </c>
      <c r="C33" s="69" cm="1">
        <f t="array" ref="C33">_xll.DBR($A$5,B33,$D$1,$D$6,$D$5,"Karşlılık Sonrası - Aylık")</f>
        <v>0</v>
      </c>
      <c r="D33" s="70"/>
      <c r="E33" s="69" cm="1">
        <f t="array" ref="E33">_xll.DBR($A$6,B33,$D$1,"Departman Toplam",$G$6,$G$5,"Amount Cost")</f>
        <v>5897128.2940112185</v>
      </c>
      <c r="F33" s="71">
        <f t="shared" si="0"/>
        <v>-5897128.2940112185</v>
      </c>
      <c r="G33" s="72">
        <f t="shared" si="1"/>
        <v>-1</v>
      </c>
      <c r="H33" s="69" cm="1">
        <f t="array" ref="H33">_xll.DBR($A$6,B33,$D$1,"Departman Toplam",$J$6,$J$5,"Amount Cost")</f>
        <v>5235229.7399999937</v>
      </c>
      <c r="I33" s="71">
        <f t="shared" si="2"/>
        <v>-5235229.7399999937</v>
      </c>
      <c r="J33" s="72">
        <f t="shared" si="3"/>
        <v>-1</v>
      </c>
      <c r="K33" s="69" cm="1">
        <f t="array" ref="K33">_xll.DBR($A$5,B33,$D$1,$L$6,$L$5,"Karşlılık Sonrası - Aylık")</f>
        <v>3640509.2499999995</v>
      </c>
      <c r="L33" s="72">
        <f t="shared" si="4"/>
        <v>-1</v>
      </c>
      <c r="M33" s="68"/>
      <c r="N33" s="69" cm="1">
        <f t="array" ref="N33">_xll.DBR($A$5,B33,$D$1,$O$6,$O$5,"Karşılık Sonrası - YTD")</f>
        <v>47558588.90999902</v>
      </c>
      <c r="O33" s="70"/>
      <c r="P33" s="69" cm="1">
        <f t="array" ref="P33">_xll.DBR($A$6,B33,$D$1,"Departman Toplam",$R$6,$R$5&amp;"-YTD","Amount Cost")</f>
        <v>61966428.056688949</v>
      </c>
      <c r="Q33" s="71">
        <f t="shared" si="5"/>
        <v>-14407839.146689929</v>
      </c>
      <c r="R33" s="72">
        <f t="shared" si="6"/>
        <v>-0.23251040278631452</v>
      </c>
      <c r="S33" s="69" cm="1">
        <f t="array" ref="S33">_xll.DBR($A$6,B33,$D$1,"Departman Toplam",$U$6,$U$5&amp;"-YTD","Amount Cost")</f>
        <v>53614613.23999992</v>
      </c>
      <c r="T33" s="71">
        <f t="shared" si="7"/>
        <v>-6056024.3300008997</v>
      </c>
      <c r="U33" s="72">
        <f t="shared" si="8"/>
        <v>-0.11295473312269871</v>
      </c>
      <c r="V33" s="69" cm="1">
        <f t="array" ref="V33">_xll.DBR($A$5,B33,$D$1,$W$6,$W$5,"Karşılık Sonrası - YTD")</f>
        <v>32032396.799999766</v>
      </c>
      <c r="W33" s="72">
        <f t="shared" si="9"/>
        <v>0.4847027903325476</v>
      </c>
    </row>
    <row r="34" spans="2:23">
      <c r="B34" s="56" t="s">
        <v>101</v>
      </c>
      <c r="C34" s="73" cm="1">
        <f t="array" ref="C34">_xll.DBR($A$5,B34,$D$1,$D$6,$D$5,"Karşlılık Sonrası - Aylık")</f>
        <v>0</v>
      </c>
      <c r="D34" s="64"/>
      <c r="E34" s="73" cm="1">
        <f t="array" ref="E34">_xll.DBR($A$6,B34,$D$1,"Departman Toplam",$G$6,$G$5,"Amount Cost")</f>
        <v>4882633.5940112295</v>
      </c>
      <c r="F34" s="74">
        <f t="shared" si="0"/>
        <v>-4882633.5940112295</v>
      </c>
      <c r="G34" s="75">
        <f t="shared" si="1"/>
        <v>-1</v>
      </c>
      <c r="H34" s="73" cm="1">
        <f t="array" ref="H34">_xll.DBR($A$6,B34,$D$1,"Departman Toplam",$J$6,$J$5,"Amount Cost")</f>
        <v>4262715.3400000017</v>
      </c>
      <c r="I34" s="74">
        <f t="shared" si="2"/>
        <v>-4262715.3400000017</v>
      </c>
      <c r="J34" s="75">
        <f t="shared" si="3"/>
        <v>-1</v>
      </c>
      <c r="K34" s="73" cm="1">
        <f t="array" ref="K34">_xll.DBR($A$5,B34,$D$1,$L$6,$L$5,"Karşlılık Sonrası - Aylık")</f>
        <v>2655306.5699999994</v>
      </c>
      <c r="L34" s="75">
        <f t="shared" si="4"/>
        <v>-1</v>
      </c>
      <c r="M34" s="56"/>
      <c r="N34" s="73" cm="1">
        <f t="array" ref="N34">_xll.DBR($A$5,B34,$D$1,$O$6,$O$5,"Karşılık Sonrası - YTD")</f>
        <v>39769069.559999026</v>
      </c>
      <c r="O34" s="64"/>
      <c r="P34" s="73" cm="1">
        <f t="array" ref="P34">_xll.DBR($A$6,B34,$D$1,"Departman Toplam",$R$6,$R$5&amp;"-YTD","Amount Cost")</f>
        <v>51441432.356688976</v>
      </c>
      <c r="Q34" s="74">
        <f t="shared" si="5"/>
        <v>-11672362.79668995</v>
      </c>
      <c r="R34" s="75">
        <f t="shared" si="6"/>
        <v>-0.22690586676815547</v>
      </c>
      <c r="S34" s="73" cm="1">
        <f t="array" ref="S34">_xll.DBR($A$6,B34,$D$1,"Departman Toplam",$U$6,$U$5&amp;"-YTD","Amount Cost")</f>
        <v>44590774.439999953</v>
      </c>
      <c r="T34" s="74">
        <f t="shared" si="7"/>
        <v>-4821704.8800009266</v>
      </c>
      <c r="U34" s="75">
        <f t="shared" si="8"/>
        <v>-0.10813234218411864</v>
      </c>
      <c r="V34" s="73" cm="1">
        <f t="array" ref="V34">_xll.DBR($A$5,B34,$D$1,$W$6,$W$5,"Karşılık Sonrası - YTD")</f>
        <v>25900462.929999761</v>
      </c>
      <c r="W34" s="75">
        <f t="shared" si="9"/>
        <v>0.53545786681425134</v>
      </c>
    </row>
    <row r="35" spans="2:23">
      <c r="B35" s="56" t="s">
        <v>102</v>
      </c>
      <c r="C35" s="73" cm="1">
        <f t="array" ref="C35">_xll.DBR($A$5,B35,$D$1,$D$6,$D$5,"Karşlılık Sonrası - Aylık")</f>
        <v>0</v>
      </c>
      <c r="D35" s="64"/>
      <c r="E35" s="73" cm="1">
        <f t="array" ref="E35">_xll.DBR($A$6,B35,$D$1,"Departman Toplam",$G$6,$G$5,"Amount Cost")</f>
        <v>1014494.6999999887</v>
      </c>
      <c r="F35" s="74">
        <f t="shared" si="0"/>
        <v>-1014494.6999999887</v>
      </c>
      <c r="G35" s="75">
        <f t="shared" si="1"/>
        <v>-1</v>
      </c>
      <c r="H35" s="73" cm="1">
        <f t="array" ref="H35">_xll.DBR($A$6,B35,$D$1,"Departman Toplam",$J$6,$J$5,"Amount Cost")</f>
        <v>972514.39999999164</v>
      </c>
      <c r="I35" s="74">
        <f t="shared" si="2"/>
        <v>-972514.39999999164</v>
      </c>
      <c r="J35" s="75">
        <f t="shared" si="3"/>
        <v>-1</v>
      </c>
      <c r="K35" s="73" cm="1">
        <f t="array" ref="K35">_xll.DBR($A$5,B35,$D$1,$L$6,$L$5,"Karşlılık Sonrası - Aylık")</f>
        <v>985202.68000000028</v>
      </c>
      <c r="L35" s="75">
        <f t="shared" si="4"/>
        <v>-1</v>
      </c>
      <c r="M35" s="56"/>
      <c r="N35" s="73" cm="1">
        <f t="array" ref="N35">_xll.DBR($A$5,B35,$D$1,$O$6,$O$5,"Karşılık Sonrası - YTD")</f>
        <v>7789519.3499999959</v>
      </c>
      <c r="O35" s="64"/>
      <c r="P35" s="73" cm="1">
        <f t="array" ref="P35">_xll.DBR($A$6,B35,$D$1,"Departman Toplam",$R$6,$R$5&amp;"-YTD","Amount Cost")</f>
        <v>10524995.699999971</v>
      </c>
      <c r="Q35" s="74">
        <f t="shared" si="5"/>
        <v>-2735476.3499999754</v>
      </c>
      <c r="R35" s="75">
        <f t="shared" si="6"/>
        <v>-0.25990284727622104</v>
      </c>
      <c r="S35" s="73" cm="1">
        <f t="array" ref="S35">_xll.DBR($A$6,B35,$D$1,"Departman Toplam",$U$6,$U$5&amp;"-YTD","Amount Cost")</f>
        <v>9023838.7999999728</v>
      </c>
      <c r="T35" s="74">
        <f t="shared" si="7"/>
        <v>-1234319.4499999769</v>
      </c>
      <c r="U35" s="75">
        <f t="shared" si="8"/>
        <v>-0.13678429738793435</v>
      </c>
      <c r="V35" s="73" cm="1">
        <f t="array" ref="V35">_xll.DBR($A$5,B35,$D$1,$W$6,$W$5,"Karşılık Sonrası - YTD")</f>
        <v>6131933.8700000029</v>
      </c>
      <c r="W35" s="75">
        <f t="shared" si="9"/>
        <v>0.27032018204070951</v>
      </c>
    </row>
    <row r="36" spans="2:23">
      <c r="B36" s="56" t="s">
        <v>103</v>
      </c>
      <c r="C36" s="73" cm="1">
        <f t="array" ref="C36">_xll.DBR($A$5,B36,$D$1,$D$6,$D$5,"Karşlılık Sonrası - Aylık")</f>
        <v>0</v>
      </c>
      <c r="D36" s="64"/>
      <c r="E36" s="73" cm="1">
        <f t="array" ref="E36">_xll.DBR($A$6,B36,$D$1,"Departman Toplam",$G$6,$G$5,"Amount Cost")</f>
        <v>4640983.5596232908</v>
      </c>
      <c r="F36" s="74">
        <f t="shared" si="0"/>
        <v>-4640983.5596232908</v>
      </c>
      <c r="G36" s="75">
        <f t="shared" si="1"/>
        <v>-1</v>
      </c>
      <c r="H36" s="73" cm="1">
        <f t="array" ref="H36">_xll.DBR($A$6,B36,$D$1,"Departman Toplam",$J$6,$J$5,"Amount Cost")</f>
        <v>3668270.9500000011</v>
      </c>
      <c r="I36" s="74">
        <f t="shared" si="2"/>
        <v>-3668270.9500000011</v>
      </c>
      <c r="J36" s="75">
        <f t="shared" si="3"/>
        <v>-1</v>
      </c>
      <c r="K36" s="73" cm="1">
        <f t="array" ref="K36">_xll.DBR($A$5,B36,$D$1,$L$6,$L$5,"Karşlılık Sonrası - Aylık")</f>
        <v>4459791.24</v>
      </c>
      <c r="L36" s="75">
        <f t="shared" si="4"/>
        <v>-1</v>
      </c>
      <c r="M36" s="56"/>
      <c r="N36" s="73" cm="1">
        <f t="array" ref="N36">_xll.DBR($A$5,B36,$D$1,$O$6,$O$5,"Karşılık Sonrası - YTD")</f>
        <v>39144724.339999989</v>
      </c>
      <c r="O36" s="64"/>
      <c r="P36" s="73" cm="1">
        <f t="array" ref="P36">_xll.DBR($A$6,B36,$D$1,"Departman Toplam",$R$6,$R$5&amp;"-YTD","Amount Cost")</f>
        <v>48097388.09311346</v>
      </c>
      <c r="Q36" s="74">
        <f t="shared" si="5"/>
        <v>-8952663.753113471</v>
      </c>
      <c r="R36" s="75">
        <f t="shared" si="6"/>
        <v>-0.18613617304502456</v>
      </c>
      <c r="S36" s="73" cm="1">
        <f t="array" ref="S36">_xll.DBR($A$6,B36,$D$1,"Departman Toplam",$U$6,$U$5&amp;"-YTD","Amount Cost")</f>
        <v>43003330.970000006</v>
      </c>
      <c r="T36" s="74">
        <f t="shared" si="7"/>
        <v>-3858606.6300000176</v>
      </c>
      <c r="U36" s="75">
        <f t="shared" si="8"/>
        <v>-8.9728087172871784E-2</v>
      </c>
      <c r="V36" s="73" cm="1">
        <f t="array" ref="V36">_xll.DBR($A$5,B36,$D$1,$W$6,$W$5,"Karşılık Sonrası - YTD")</f>
        <v>29788955.009999998</v>
      </c>
      <c r="W36" s="75">
        <f t="shared" si="9"/>
        <v>0.3140683963858184</v>
      </c>
    </row>
    <row r="37" spans="2:23">
      <c r="B37" s="68" t="s">
        <v>104</v>
      </c>
      <c r="C37" s="69" cm="1">
        <f t="array" ref="C37">_xll.DBR($A$5,B37,$D$1,$D$6,$D$5,"Karşlılık Sonrası - Aylık")</f>
        <v>0</v>
      </c>
      <c r="D37" s="70"/>
      <c r="E37" s="69" cm="1">
        <f t="array" ref="E37">_xll.DBR($A$6,B37,$D$1,"Departman Toplam",$G$6,$G$5,"Amount Cost")</f>
        <v>1334728.1918453232</v>
      </c>
      <c r="F37" s="71">
        <f t="shared" si="0"/>
        <v>-1334728.1918453232</v>
      </c>
      <c r="G37" s="72">
        <f t="shared" si="1"/>
        <v>-1</v>
      </c>
      <c r="H37" s="69" cm="1">
        <f t="array" ref="H37">_xll.DBR($A$6,B37,$D$1,"Departman Toplam",$J$6,$J$5,"Amount Cost")</f>
        <v>1334728.1918453232</v>
      </c>
      <c r="I37" s="71">
        <f t="shared" si="2"/>
        <v>-1334728.1918453232</v>
      </c>
      <c r="J37" s="72">
        <f t="shared" si="3"/>
        <v>-1</v>
      </c>
      <c r="K37" s="69" cm="1">
        <f t="array" ref="K37">_xll.DBR($A$5,B37,$D$1,$L$6,$L$5,"Karşlılık Sonrası - Aylık")</f>
        <v>1470926.4700000004</v>
      </c>
      <c r="L37" s="72">
        <f t="shared" si="4"/>
        <v>-1</v>
      </c>
      <c r="M37" s="68"/>
      <c r="N37" s="69" cm="1">
        <f t="array" ref="N37">_xll.DBR($A$5,B37,$D$1,$O$6,$O$5,"Karşılık Sonrası - YTD")</f>
        <v>16958945.370000001</v>
      </c>
      <c r="O37" s="70"/>
      <c r="P37" s="69" cm="1">
        <f t="array" ref="P37">_xll.DBR($A$6,B37,$D$1,"Departman Toplam",$R$6,$R$5&amp;"-YTD","Amount Cost")</f>
        <v>14204752.685091577</v>
      </c>
      <c r="Q37" s="71">
        <f t="shared" si="5"/>
        <v>2754192.6849084236</v>
      </c>
      <c r="R37" s="72">
        <f t="shared" si="6"/>
        <v>0.19389233631635505</v>
      </c>
      <c r="S37" s="69" cm="1">
        <f t="array" ref="S37">_xll.DBR($A$6,B37,$D$1,"Departman Toplam",$U$6,$U$5&amp;"-YTD","Amount Cost")</f>
        <v>19181426.203326661</v>
      </c>
      <c r="T37" s="71">
        <f t="shared" si="7"/>
        <v>-2222480.8333266601</v>
      </c>
      <c r="U37" s="72">
        <f t="shared" si="8"/>
        <v>-0.11586629741542431</v>
      </c>
      <c r="V37" s="69" cm="1">
        <f t="array" ref="V37">_xll.DBR($A$5,B37,$D$1,$W$6,$W$5,"Karşılık Sonrası - YTD")</f>
        <v>10716374.119999999</v>
      </c>
      <c r="W37" s="72">
        <f t="shared" si="9"/>
        <v>0.58252643852265973</v>
      </c>
    </row>
    <row r="38" spans="2:23">
      <c r="B38" s="56" t="s">
        <v>105</v>
      </c>
      <c r="C38" s="73" cm="1">
        <f t="array" ref="C38">_xll.DBR($A$5,B38,$D$1,$D$6,$D$5,"Karşlılık Sonrası - Aylık")</f>
        <v>0</v>
      </c>
      <c r="D38" s="64"/>
      <c r="E38" s="73" cm="1">
        <f t="array" ref="E38">_xll.DBR($A$6,B38,$D$1,"Departman Toplam",$G$6,$G$5,"Amount Cost")</f>
        <v>438626.40135609719</v>
      </c>
      <c r="F38" s="74">
        <f t="shared" si="0"/>
        <v>-438626.40135609719</v>
      </c>
      <c r="G38" s="75">
        <f t="shared" si="1"/>
        <v>-1</v>
      </c>
      <c r="H38" s="73" cm="1">
        <f t="array" ref="H38">_xll.DBR($A$6,B38,$D$1,"Departman Toplam",$J$6,$J$5,"Amount Cost")</f>
        <v>438626.40135609719</v>
      </c>
      <c r="I38" s="74">
        <f t="shared" si="2"/>
        <v>-438626.40135609719</v>
      </c>
      <c r="J38" s="75">
        <f t="shared" si="3"/>
        <v>-1</v>
      </c>
      <c r="K38" s="73" cm="1">
        <f t="array" ref="K38">_xll.DBR($A$5,B38,$D$1,$L$6,$L$5,"Karşlılık Sonrası - Aylık")</f>
        <v>13966.039999999999</v>
      </c>
      <c r="L38" s="75">
        <f t="shared" si="4"/>
        <v>-1</v>
      </c>
      <c r="M38" s="56"/>
      <c r="N38" s="73" cm="1">
        <f t="array" ref="N38">_xll.DBR($A$5,B38,$D$1,$O$6,$O$5,"Karşılık Sonrası - YTD")</f>
        <v>5532087.96</v>
      </c>
      <c r="O38" s="64"/>
      <c r="P38" s="73" cm="1">
        <f t="array" ref="P38">_xll.DBR($A$6,B38,$D$1,"Departman Toplam",$R$6,$R$5&amp;"-YTD","Amount Cost")</f>
        <v>4281196.370249941</v>
      </c>
      <c r="Q38" s="74">
        <f t="shared" si="5"/>
        <v>1250891.5897500589</v>
      </c>
      <c r="R38" s="75">
        <f t="shared" si="6"/>
        <v>0.2921827175325365</v>
      </c>
      <c r="S38" s="73" cm="1">
        <f t="array" ref="S38">_xll.DBR($A$6,B38,$D$1,"Departman Toplam",$U$6,$U$5&amp;"-YTD","Amount Cost")</f>
        <v>6905427.1613401612</v>
      </c>
      <c r="T38" s="74">
        <f t="shared" si="7"/>
        <v>-1373339.2013401613</v>
      </c>
      <c r="U38" s="75">
        <f t="shared" si="8"/>
        <v>-0.19887824015127725</v>
      </c>
      <c r="V38" s="73" cm="1">
        <f t="array" ref="V38">_xll.DBR($A$5,B38,$D$1,$W$6,$W$5,"Karşılık Sonrası - YTD")</f>
        <v>1514757.6799999997</v>
      </c>
      <c r="W38" s="75">
        <f t="shared" si="9"/>
        <v>2.6521273554460545</v>
      </c>
    </row>
    <row r="39" spans="2:23">
      <c r="B39" s="56" t="s">
        <v>106</v>
      </c>
      <c r="C39" s="73" cm="1">
        <f t="array" ref="C39">_xll.DBR($A$5,B39,$D$1,$D$6,$D$5,"Karşlılık Sonrası - Aylık")</f>
        <v>0</v>
      </c>
      <c r="D39" s="64"/>
      <c r="E39" s="73" cm="1">
        <f t="array" ref="E39">_xll.DBR($A$6,B39,$D$1,"Departman Toplam",$G$6,$G$5,"Amount Cost")</f>
        <v>247532.86573341329</v>
      </c>
      <c r="F39" s="74">
        <f t="shared" si="0"/>
        <v>-247532.86573341329</v>
      </c>
      <c r="G39" s="75">
        <f t="shared" si="1"/>
        <v>-1</v>
      </c>
      <c r="H39" s="73" cm="1">
        <f t="array" ref="H39">_xll.DBR($A$6,B39,$D$1,"Departman Toplam",$J$6,$J$5,"Amount Cost")</f>
        <v>247532.86573341329</v>
      </c>
      <c r="I39" s="74">
        <f t="shared" si="2"/>
        <v>-247532.86573341329</v>
      </c>
      <c r="J39" s="75">
        <f t="shared" si="3"/>
        <v>-1</v>
      </c>
      <c r="K39" s="73" cm="1">
        <f t="array" ref="K39">_xll.DBR($A$5,B39,$D$1,$L$6,$L$5,"Karşlılık Sonrası - Aylık")</f>
        <v>579554.63000000012</v>
      </c>
      <c r="L39" s="75">
        <f t="shared" si="4"/>
        <v>-1</v>
      </c>
      <c r="M39" s="56"/>
      <c r="N39" s="73" cm="1">
        <f t="array" ref="N39">_xll.DBR($A$5,B39,$D$1,$O$6,$O$5,"Karşılık Sonrası - YTD")</f>
        <v>5267361.5299999993</v>
      </c>
      <c r="O39" s="64"/>
      <c r="P39" s="73" cm="1">
        <f t="array" ref="P39">_xll.DBR($A$6,B39,$D$1,"Departman Toplam",$R$6,$R$5&amp;"-YTD","Amount Cost")</f>
        <v>2774527.6196541404</v>
      </c>
      <c r="Q39" s="74">
        <f t="shared" si="5"/>
        <v>2492833.9103458589</v>
      </c>
      <c r="R39" s="75">
        <f t="shared" si="6"/>
        <v>0.89847147049003029</v>
      </c>
      <c r="S39" s="73" cm="1">
        <f t="array" ref="S39">_xll.DBR($A$6,B39,$D$1,"Departman Toplam",$U$6,$U$5&amp;"-YTD","Amount Cost")</f>
        <v>5267046.6675118171</v>
      </c>
      <c r="T39" s="74">
        <f t="shared" si="7"/>
        <v>314.86248818226159</v>
      </c>
      <c r="U39" s="75">
        <f t="shared" si="8"/>
        <v>5.977970351476009E-5</v>
      </c>
      <c r="V39" s="73" cm="1">
        <f t="array" ref="V39">_xll.DBR($A$5,B39,$D$1,$W$6,$W$5,"Karşılık Sonrası - YTD")</f>
        <v>3711752.1199999996</v>
      </c>
      <c r="W39" s="75">
        <f t="shared" si="9"/>
        <v>0.41910379780425633</v>
      </c>
    </row>
    <row r="40" spans="2:23">
      <c r="B40" s="56" t="s">
        <v>107</v>
      </c>
      <c r="C40" s="73" cm="1">
        <f t="array" ref="C40">_xll.DBR($A$5,B40,$D$1,$D$6,$D$5,"Karşlılık Sonrası - Aylık")</f>
        <v>0</v>
      </c>
      <c r="D40" s="64"/>
      <c r="E40" s="73" cm="1">
        <f t="array" ref="E40">_xll.DBR($A$6,B40,$D$1,"Departman Toplam",$G$6,$G$5,"Amount Cost")</f>
        <v>648568.92475581262</v>
      </c>
      <c r="F40" s="74">
        <f t="shared" si="0"/>
        <v>-648568.92475581262</v>
      </c>
      <c r="G40" s="75">
        <f t="shared" si="1"/>
        <v>-1</v>
      </c>
      <c r="H40" s="73" cm="1">
        <f t="array" ref="H40">_xll.DBR($A$6,B40,$D$1,"Departman Toplam",$J$6,$J$5,"Amount Cost")</f>
        <v>648568.92475581262</v>
      </c>
      <c r="I40" s="74">
        <f t="shared" si="2"/>
        <v>-648568.92475581262</v>
      </c>
      <c r="J40" s="75">
        <f t="shared" si="3"/>
        <v>-1</v>
      </c>
      <c r="K40" s="73" cm="1">
        <f t="array" ref="K40">_xll.DBR($A$5,B40,$D$1,$L$6,$L$5,"Karşlılık Sonrası - Aylık")</f>
        <v>877405.8</v>
      </c>
      <c r="L40" s="75">
        <f t="shared" si="4"/>
        <v>-1</v>
      </c>
      <c r="M40" s="56"/>
      <c r="N40" s="73" cm="1">
        <f t="array" ref="N40">_xll.DBR($A$5,B40,$D$1,$O$6,$O$5,"Karşılık Sonrası - YTD")</f>
        <v>6159495.879999999</v>
      </c>
      <c r="O40" s="64"/>
      <c r="P40" s="73" cm="1">
        <f t="array" ref="P40">_xll.DBR($A$6,B40,$D$1,"Departman Toplam",$R$6,$R$5&amp;"-YTD","Amount Cost")</f>
        <v>7149028.6951875025</v>
      </c>
      <c r="Q40" s="74">
        <f t="shared" si="5"/>
        <v>-989532.81518750358</v>
      </c>
      <c r="R40" s="75">
        <f t="shared" si="6"/>
        <v>-0.13841500116702923</v>
      </c>
      <c r="S40" s="73" cm="1">
        <f t="array" ref="S40">_xll.DBR($A$6,B40,$D$1,"Departman Toplam",$U$6,$U$5&amp;"-YTD","Amount Cost")</f>
        <v>7008952.3744746875</v>
      </c>
      <c r="T40" s="74">
        <f t="shared" si="7"/>
        <v>-849456.49447468854</v>
      </c>
      <c r="U40" s="75">
        <f t="shared" si="8"/>
        <v>-0.12119592901904321</v>
      </c>
      <c r="V40" s="73" cm="1">
        <f t="array" ref="V40">_xll.DBR($A$5,B40,$D$1,$W$6,$W$5,"Karşılık Sonrası - YTD")</f>
        <v>5489864.3199999994</v>
      </c>
      <c r="W40" s="75">
        <f t="shared" si="9"/>
        <v>0.12197597626602176</v>
      </c>
    </row>
    <row r="41" spans="2:23" s="79" customFormat="1" ht="15">
      <c r="B41" s="68" t="s">
        <v>108</v>
      </c>
      <c r="C41" s="69" cm="1">
        <f t="array" ref="C41">_xll.DBR($A$5,B41,$D$1,$D$6,$D$5,"Karşlılık Sonrası - Aylık")</f>
        <v>0</v>
      </c>
      <c r="D41" s="70"/>
      <c r="E41" s="69" cm="1">
        <f t="array" ref="E41">_xll.DBR($A$6,B41,$D$1,"Departman Toplam",$G$6,$G$5,"Amount Cost")</f>
        <v>13618311.359999884</v>
      </c>
      <c r="F41" s="71">
        <f t="shared" si="0"/>
        <v>-13618311.359999884</v>
      </c>
      <c r="G41" s="72">
        <f t="shared" si="1"/>
        <v>-1</v>
      </c>
      <c r="H41" s="69" cm="1">
        <f t="array" ref="H41">_xll.DBR($A$6,B41,$D$1,"Departman Toplam",$J$6,$J$5,"Amount Cost")</f>
        <v>10688618.677119665</v>
      </c>
      <c r="I41" s="71">
        <f t="shared" si="2"/>
        <v>-10688618.677119665</v>
      </c>
      <c r="J41" s="72">
        <f t="shared" si="3"/>
        <v>-1</v>
      </c>
      <c r="K41" s="69" cm="1">
        <f t="array" ref="K41">_xll.DBR($A$5,B41,$D$1,$L$6,$L$5,"Karşlılık Sonrası - Aylık")</f>
        <v>10438810.626759991</v>
      </c>
      <c r="L41" s="72">
        <f t="shared" si="4"/>
        <v>-1</v>
      </c>
      <c r="M41" s="68"/>
      <c r="N41" s="69" cm="1">
        <f t="array" ref="N41">_xll.DBR($A$5,B41,$D$1,$O$6,$O$5,"Karşılık Sonrası - YTD")</f>
        <v>127528603.51999998</v>
      </c>
      <c r="O41" s="70"/>
      <c r="P41" s="69" cm="1">
        <f t="array" ref="P41">_xll.DBR($A$6,B41,$D$1,"Departman Toplam",$R$6,$R$5&amp;"-YTD","Amount Cost")</f>
        <v>157405249.24000004</v>
      </c>
      <c r="Q41" s="71">
        <f t="shared" si="5"/>
        <v>-29876645.720000058</v>
      </c>
      <c r="R41" s="72">
        <f t="shared" si="6"/>
        <v>-0.18980717520065885</v>
      </c>
      <c r="S41" s="69" cm="1">
        <f t="array" ref="S41">_xll.DBR($A$6,B41,$D$1,"Departman Toplam",$U$6,$U$5&amp;"-YTD","Amount Cost")</f>
        <v>135321318.87734747</v>
      </c>
      <c r="T41" s="71">
        <f t="shared" si="7"/>
        <v>-7792715.3573474884</v>
      </c>
      <c r="U41" s="72">
        <f t="shared" si="8"/>
        <v>-5.7586752937359778E-2</v>
      </c>
      <c r="V41" s="69" cm="1">
        <f t="array" ref="V41">_xll.DBR($A$5,B41,$D$1,$W$6,$W$5,"Karşılık Sonrası - YTD")</f>
        <v>109961541.90343015</v>
      </c>
      <c r="W41" s="72">
        <f t="shared" si="9"/>
        <v>0.15975641403789595</v>
      </c>
    </row>
    <row r="42" spans="2:23">
      <c r="B42" s="56" t="s">
        <v>109</v>
      </c>
      <c r="C42" s="73" cm="1">
        <f t="array" ref="C42">_xll.DBR($A$5,B42,$D$1,$D$6,$D$5,"Karşlılık Sonrası - Aylık")</f>
        <v>0</v>
      </c>
      <c r="D42" s="64"/>
      <c r="E42" s="73" cm="1">
        <f t="array" ref="E42">_xll.DBR($A$6,B42,$D$1,"Departman Toplam",$G$6,$G$5,"Amount Cost")</f>
        <v>11480239.969999883</v>
      </c>
      <c r="F42" s="74">
        <f t="shared" si="0"/>
        <v>-11480239.969999883</v>
      </c>
      <c r="G42" s="75">
        <f t="shared" si="1"/>
        <v>-1</v>
      </c>
      <c r="H42" s="73" cm="1">
        <f t="array" ref="H42">_xll.DBR($A$6,B42,$D$1,"Departman Toplam",$J$6,$J$5,"Amount Cost")</f>
        <v>9404638.177119663</v>
      </c>
      <c r="I42" s="74">
        <f t="shared" si="2"/>
        <v>-9404638.177119663</v>
      </c>
      <c r="J42" s="75">
        <f t="shared" si="3"/>
        <v>-1</v>
      </c>
      <c r="K42" s="73" cm="1">
        <f t="array" ref="K42">_xll.DBR($A$5,B42,$D$1,$L$6,$L$5,"Karşlılık Sonrası - Aylık")</f>
        <v>9087937.3799999934</v>
      </c>
      <c r="L42" s="75">
        <f t="shared" si="4"/>
        <v>-1</v>
      </c>
      <c r="M42" s="56"/>
      <c r="N42" s="73" cm="1">
        <f t="array" ref="N42">_xll.DBR($A$5,B42,$D$1,$O$6,$O$5,"Karşılık Sonrası - YTD")</f>
        <v>116799821.25999996</v>
      </c>
      <c r="O42" s="64"/>
      <c r="P42" s="73" cm="1">
        <f t="array" ref="P42">_xll.DBR($A$6,B42,$D$1,"Departman Toplam",$R$6,$R$5&amp;"-YTD","Amount Cost")</f>
        <v>143876029.76999992</v>
      </c>
      <c r="Q42" s="74">
        <f t="shared" si="5"/>
        <v>-27076208.509999961</v>
      </c>
      <c r="R42" s="75">
        <f t="shared" si="6"/>
        <v>-0.18819124042610824</v>
      </c>
      <c r="S42" s="73" cm="1">
        <f t="array" ref="S42">_xll.DBR($A$6,B42,$D$1,"Departman Toplam",$U$6,$U$5&amp;"-YTD","Amount Cost")</f>
        <v>123585533.89734749</v>
      </c>
      <c r="T42" s="74">
        <f t="shared" si="7"/>
        <v>-6785712.6373475343</v>
      </c>
      <c r="U42" s="75">
        <f t="shared" si="8"/>
        <v>-5.4907013979353575E-2</v>
      </c>
      <c r="V42" s="73" cm="1">
        <f t="array" ref="V42">_xll.DBR($A$5,B42,$D$1,$W$6,$W$5,"Karşılık Sonrası - YTD")</f>
        <v>102892832.83667016</v>
      </c>
      <c r="W42" s="75">
        <f t="shared" si="9"/>
        <v>0.13515993330075235</v>
      </c>
    </row>
    <row r="43" spans="2:23">
      <c r="B43" s="56" t="s">
        <v>110</v>
      </c>
      <c r="C43" s="73" cm="1">
        <f t="array" ref="C43">_xll.DBR($A$5,B43,$D$1,$D$6,$D$5,"Karşlılık Sonrası - Aylık")</f>
        <v>0</v>
      </c>
      <c r="D43" s="64"/>
      <c r="E43" s="73" cm="1">
        <f t="array" ref="E43">_xll.DBR($A$6,B43,$D$1,"Departman Toplam",$G$6,$G$5,"Amount Cost")</f>
        <v>443988.36000000103</v>
      </c>
      <c r="F43" s="74">
        <f t="shared" si="0"/>
        <v>-443988.36000000103</v>
      </c>
      <c r="G43" s="75">
        <f t="shared" si="1"/>
        <v>-1</v>
      </c>
      <c r="H43" s="73" cm="1">
        <f t="array" ref="H43">_xll.DBR($A$6,B43,$D$1,"Departman Toplam",$J$6,$J$5,"Amount Cost")</f>
        <v>436995.63000000094</v>
      </c>
      <c r="I43" s="74">
        <f t="shared" si="2"/>
        <v>-436995.63000000094</v>
      </c>
      <c r="J43" s="75">
        <f t="shared" si="3"/>
        <v>-1</v>
      </c>
      <c r="K43" s="73" cm="1">
        <f t="array" ref="K43">_xll.DBR($A$5,B43,$D$1,$L$6,$L$5,"Karşlılık Sonrası - Aylık")</f>
        <v>70081.949999997742</v>
      </c>
      <c r="L43" s="75">
        <f t="shared" si="4"/>
        <v>-1</v>
      </c>
      <c r="M43" s="56"/>
      <c r="N43" s="73" cm="1">
        <f t="array" ref="N43">_xll.DBR($A$5,B43,$D$1,$O$6,$O$5,"Karşılık Sonrası - YTD")</f>
        <v>3644461.660000023</v>
      </c>
      <c r="O43" s="64"/>
      <c r="P43" s="73" cm="1">
        <f t="array" ref="P43">_xll.DBR($A$6,B43,$D$1,"Departman Toplam",$R$6,$R$5&amp;"-YTD","Amount Cost")</f>
        <v>4276461.8899999987</v>
      </c>
      <c r="Q43" s="74">
        <f t="shared" si="5"/>
        <v>-632000.22999997577</v>
      </c>
      <c r="R43" s="75">
        <f t="shared" si="6"/>
        <v>-0.14778577390759257</v>
      </c>
      <c r="S43" s="73" cm="1">
        <f t="array" ref="S43">_xll.DBR($A$6,B43,$D$1,"Departman Toplam",$U$6,$U$5&amp;"-YTD","Amount Cost")</f>
        <v>3780986.8299999963</v>
      </c>
      <c r="T43" s="74">
        <f t="shared" si="7"/>
        <v>-136525.16999997338</v>
      </c>
      <c r="U43" s="75">
        <f t="shared" si="8"/>
        <v>-3.6108343175576076E-2</v>
      </c>
      <c r="V43" s="73" cm="1">
        <f t="array" ref="V43">_xll.DBR($A$5,B43,$D$1,$W$6,$W$5,"Karşılık Sonrası - YTD")</f>
        <v>2394227.9199999953</v>
      </c>
      <c r="W43" s="75">
        <f t="shared" si="9"/>
        <v>0.52218660118207549</v>
      </c>
    </row>
    <row r="44" spans="2:23">
      <c r="B44" s="56" t="s">
        <v>111</v>
      </c>
      <c r="C44" s="73" cm="1">
        <f t="array" ref="C44">_xll.DBR($A$5,B44,$D$1,$D$6,$D$5,"Karşlılık Sonrası - Aylık")</f>
        <v>0</v>
      </c>
      <c r="D44" s="64"/>
      <c r="E44" s="73" cm="1">
        <f t="array" ref="E44">_xll.DBR($A$6,B44,$D$1,"Departman Toplam",$G$6,$G$5,"Amount Cost")</f>
        <v>59117.739999999438</v>
      </c>
      <c r="F44" s="74">
        <f t="shared" si="0"/>
        <v>-59117.739999999438</v>
      </c>
      <c r="G44" s="75">
        <f t="shared" si="1"/>
        <v>-1</v>
      </c>
      <c r="H44" s="73" cm="1">
        <f t="array" ref="H44">_xll.DBR($A$6,B44,$D$1,"Departman Toplam",$J$6,$J$5,"Amount Cost")</f>
        <v>54250.829999999565</v>
      </c>
      <c r="I44" s="74">
        <f t="shared" si="2"/>
        <v>-54250.829999999565</v>
      </c>
      <c r="J44" s="75">
        <f t="shared" si="3"/>
        <v>-1</v>
      </c>
      <c r="K44" s="73" cm="1">
        <f t="array" ref="K44">_xll.DBR($A$5,B44,$D$1,$L$6,$L$5,"Karşlılık Sonrası - Aylık")</f>
        <v>80107.219999999987</v>
      </c>
      <c r="L44" s="75">
        <f t="shared" si="4"/>
        <v>-1</v>
      </c>
      <c r="M44" s="56"/>
      <c r="N44" s="73" cm="1">
        <f t="array" ref="N44">_xll.DBR($A$5,B44,$D$1,$O$6,$O$5,"Karşılık Sonrası - YTD")</f>
        <v>194537.14000000004</v>
      </c>
      <c r="O44" s="64"/>
      <c r="P44" s="73" cm="1">
        <f t="array" ref="P44">_xll.DBR($A$6,B44,$D$1,"Departman Toplam",$R$6,$R$5&amp;"-YTD","Amount Cost")</f>
        <v>646695.13999999361</v>
      </c>
      <c r="Q44" s="74">
        <f t="shared" si="5"/>
        <v>-452157.9999999936</v>
      </c>
      <c r="R44" s="75">
        <f t="shared" si="6"/>
        <v>-0.69918261640252632</v>
      </c>
      <c r="S44" s="73" cm="1">
        <f t="array" ref="S44">_xll.DBR($A$6,B44,$D$1,"Departman Toplam",$U$6,$U$5&amp;"-YTD","Amount Cost")</f>
        <v>273718.96999999904</v>
      </c>
      <c r="T44" s="74">
        <f t="shared" si="7"/>
        <v>-79181.829999998998</v>
      </c>
      <c r="U44" s="75">
        <f t="shared" si="8"/>
        <v>-0.28928148458252373</v>
      </c>
      <c r="V44" s="73" cm="1">
        <f t="array" ref="V44">_xll.DBR($A$5,B44,$D$1,$W$6,$W$5,"Karşılık Sonrası - YTD")</f>
        <v>171353.08000000002</v>
      </c>
      <c r="W44" s="75">
        <f t="shared" si="9"/>
        <v>0.13529993157987019</v>
      </c>
    </row>
    <row r="45" spans="2:23">
      <c r="B45" s="56" t="s">
        <v>112</v>
      </c>
      <c r="C45" s="73" cm="1">
        <f t="array" ref="C45">_xll.DBR($A$5,B45,$D$1,$D$6,$D$5,"Karşlılık Sonrası - Aylık")</f>
        <v>0</v>
      </c>
      <c r="D45" s="64"/>
      <c r="E45" s="73" cm="1">
        <f t="array" ref="E45">_xll.DBR($A$6,B45,$D$1,"Departman Toplam",$G$6,$G$5,"Amount Cost")</f>
        <v>1634965.2899999998</v>
      </c>
      <c r="F45" s="74">
        <f t="shared" si="0"/>
        <v>-1634965.2899999998</v>
      </c>
      <c r="G45" s="75">
        <f t="shared" si="1"/>
        <v>-1</v>
      </c>
      <c r="H45" s="73" cm="1">
        <f t="array" ref="H45">_xll.DBR($A$6,B45,$D$1,"Departman Toplam",$J$6,$J$5,"Amount Cost")</f>
        <v>792734.04</v>
      </c>
      <c r="I45" s="74">
        <f t="shared" si="2"/>
        <v>-792734.04</v>
      </c>
      <c r="J45" s="75">
        <f t="shared" si="3"/>
        <v>-1</v>
      </c>
      <c r="K45" s="73" cm="1">
        <f t="array" ref="K45">_xll.DBR($A$5,B45,$D$1,$L$6,$L$5,"Karşlılık Sonrası - Aylık")</f>
        <v>1200684.0767600001</v>
      </c>
      <c r="L45" s="75">
        <f t="shared" si="4"/>
        <v>-1</v>
      </c>
      <c r="M45" s="56"/>
      <c r="N45" s="73" cm="1">
        <f t="array" ref="N45">_xll.DBR($A$5,B45,$D$1,$O$6,$O$5,"Karşılık Sonrası - YTD")</f>
        <v>6889783.46</v>
      </c>
      <c r="O45" s="64"/>
      <c r="P45" s="73" cm="1">
        <f t="array" ref="P45">_xll.DBR($A$6,B45,$D$1,"Departman Toplam",$R$6,$R$5&amp;"-YTD","Amount Cost")</f>
        <v>8606062.4399999995</v>
      </c>
      <c r="Q45" s="74">
        <f t="shared" si="5"/>
        <v>-1716278.9799999995</v>
      </c>
      <c r="R45" s="75">
        <f t="shared" si="6"/>
        <v>-0.1994267403897664</v>
      </c>
      <c r="S45" s="73" cm="1">
        <f t="array" ref="S45">_xll.DBR($A$6,B45,$D$1,"Departman Toplam",$U$6,$U$5&amp;"-YTD","Amount Cost")</f>
        <v>7681079.1800000006</v>
      </c>
      <c r="T45" s="74">
        <f t="shared" si="7"/>
        <v>-791295.72000000067</v>
      </c>
      <c r="U45" s="75">
        <f t="shared" si="8"/>
        <v>-0.10301882085272301</v>
      </c>
      <c r="V45" s="73" cm="1">
        <f t="array" ref="V45">_xll.DBR($A$5,B45,$D$1,$W$6,$W$5,"Karşılık Sonrası - YTD")</f>
        <v>4503128.0667599998</v>
      </c>
      <c r="W45" s="75">
        <f t="shared" si="9"/>
        <v>0.52999944879586747</v>
      </c>
    </row>
    <row r="46" spans="2:23" s="79" customFormat="1" ht="15">
      <c r="B46" s="68" t="s">
        <v>113</v>
      </c>
      <c r="C46" s="69" cm="1">
        <f t="array" ref="C46">_xll.DBR($A$5,B46,$D$1,$D$6,$D$5,"Karşlılık Sonrası - Aylık")</f>
        <v>0</v>
      </c>
      <c r="D46" s="70"/>
      <c r="E46" s="69" cm="1">
        <f t="array" ref="E46">_xll.DBR($A$6,B46,$D$1,"Departman Toplam",$G$6,$G$5,"Amount Cost")</f>
        <v>401305.35</v>
      </c>
      <c r="F46" s="71">
        <f t="shared" si="0"/>
        <v>-401305.35</v>
      </c>
      <c r="G46" s="72">
        <f t="shared" si="1"/>
        <v>-1</v>
      </c>
      <c r="H46" s="69" cm="1">
        <f t="array" ref="H46">_xll.DBR($A$6,B46,$D$1,"Departman Toplam",$J$6,$J$5,"Amount Cost")</f>
        <v>358305.35000000009</v>
      </c>
      <c r="I46" s="71">
        <f t="shared" si="2"/>
        <v>-358305.35000000009</v>
      </c>
      <c r="J46" s="72">
        <f t="shared" si="3"/>
        <v>-1</v>
      </c>
      <c r="K46" s="69" cm="1">
        <f t="array" ref="K46">_xll.DBR($A$5,B46,$D$1,$L$6,$L$5,"Karşlılık Sonrası - Aylık")</f>
        <v>731621.89014000015</v>
      </c>
      <c r="L46" s="72">
        <f t="shared" si="4"/>
        <v>-1</v>
      </c>
      <c r="M46" s="68"/>
      <c r="N46" s="69" cm="1">
        <f t="array" ref="N46">_xll.DBR($A$5,B46,$D$1,$O$6,$O$5,"Karşılık Sonrası - YTD")</f>
        <v>4111266.6399999969</v>
      </c>
      <c r="O46" s="70"/>
      <c r="P46" s="69" cm="1">
        <f t="array" ref="P46">_xll.DBR($A$6,B46,$D$1,"Departman Toplam",$R$6,$R$5&amp;"-YTD","Amount Cost")</f>
        <v>4399788.9442436527</v>
      </c>
      <c r="Q46" s="71">
        <f t="shared" si="5"/>
        <v>-288522.30424365588</v>
      </c>
      <c r="R46" s="72">
        <f t="shared" si="6"/>
        <v>-6.5576396481730415E-2</v>
      </c>
      <c r="S46" s="69" cm="1">
        <f t="array" ref="S46">_xll.DBR($A$6,B46,$D$1,"Departman Toplam",$U$6,$U$5&amp;"-YTD","Amount Cost")</f>
        <v>4568003.599999995</v>
      </c>
      <c r="T46" s="71">
        <f t="shared" si="7"/>
        <v>-456736.9599999981</v>
      </c>
      <c r="U46" s="72">
        <f t="shared" si="8"/>
        <v>-9.9986120851568203E-2</v>
      </c>
      <c r="V46" s="69" cm="1">
        <f t="array" ref="V46">_xll.DBR($A$5,B46,$D$1,$W$6,$W$5,"Karşılık Sonrası - YTD")</f>
        <v>3141988.0601399997</v>
      </c>
      <c r="W46" s="72">
        <f t="shared" si="9"/>
        <v>0.30849212705690815</v>
      </c>
    </row>
    <row r="47" spans="2:23">
      <c r="B47" s="56" t="s">
        <v>114</v>
      </c>
      <c r="C47" s="73" cm="1">
        <f t="array" ref="C47">_xll.DBR($A$5,B47,$D$1,$D$6,$D$5,"Karşlılık Sonrası - Aylık")</f>
        <v>0</v>
      </c>
      <c r="D47" s="64"/>
      <c r="E47" s="73" cm="1">
        <f t="array" ref="E47">_xll.DBR($A$6,B47,$D$1,"Departman Toplam",$G$6,$G$5,"Amount Cost")</f>
        <v>236368.58000000002</v>
      </c>
      <c r="F47" s="74">
        <f t="shared" si="0"/>
        <v>-236368.58000000002</v>
      </c>
      <c r="G47" s="75">
        <f t="shared" si="1"/>
        <v>-1</v>
      </c>
      <c r="H47" s="73" cm="1">
        <f t="array" ref="H47">_xll.DBR($A$6,B47,$D$1,"Departman Toplam",$J$6,$J$5,"Amount Cost")</f>
        <v>193368.58</v>
      </c>
      <c r="I47" s="74">
        <f t="shared" si="2"/>
        <v>-193368.58</v>
      </c>
      <c r="J47" s="75">
        <f t="shared" si="3"/>
        <v>-1</v>
      </c>
      <c r="K47" s="73" cm="1">
        <f t="array" ref="K47">_xll.DBR($A$5,B47,$D$1,$L$6,$L$5,"Karşlılık Sonrası - Aylık")</f>
        <v>217149.44999999995</v>
      </c>
      <c r="L47" s="75">
        <f t="shared" si="4"/>
        <v>-1</v>
      </c>
      <c r="M47" s="56"/>
      <c r="N47" s="73" cm="1">
        <f t="array" ref="N47">_xll.DBR($A$5,B47,$D$1,$O$6,$O$5,"Karşılık Sonrası - YTD")</f>
        <v>2424407.6799999983</v>
      </c>
      <c r="O47" s="64"/>
      <c r="P47" s="73" cm="1">
        <f t="array" ref="P47">_xll.DBR($A$6,B47,$D$1,"Departman Toplam",$R$6,$R$5&amp;"-YTD","Amount Cost")</f>
        <v>2585623.3800000004</v>
      </c>
      <c r="Q47" s="74">
        <f t="shared" si="5"/>
        <v>-161215.70000000205</v>
      </c>
      <c r="R47" s="75">
        <f t="shared" si="6"/>
        <v>-6.2350805321075814E-2</v>
      </c>
      <c r="S47" s="73" cm="1">
        <f t="array" ref="S47">_xll.DBR($A$6,B47,$D$1,"Departman Toplam",$U$6,$U$5&amp;"-YTD","Amount Cost")</f>
        <v>2719223.799999997</v>
      </c>
      <c r="T47" s="74">
        <f t="shared" si="7"/>
        <v>-294816.11999999871</v>
      </c>
      <c r="U47" s="75">
        <f t="shared" si="8"/>
        <v>-0.10841921874911474</v>
      </c>
      <c r="V47" s="73" cm="1">
        <f t="array" ref="V47">_xll.DBR($A$5,B47,$D$1,$W$6,$W$5,"Karşılık Sonrası - YTD")</f>
        <v>1920003.0299999998</v>
      </c>
      <c r="W47" s="75">
        <f t="shared" si="9"/>
        <v>0.26271034061857629</v>
      </c>
    </row>
    <row r="48" spans="2:23">
      <c r="B48" s="56" t="s">
        <v>115</v>
      </c>
      <c r="C48" s="73" cm="1">
        <f t="array" ref="C48">_xll.DBR($A$5,B48,$D$1,$D$6,$D$5,"Karşlılık Sonrası - Aylık")</f>
        <v>0</v>
      </c>
      <c r="D48" s="64"/>
      <c r="E48" s="73" cm="1">
        <f t="array" ref="E48">_xll.DBR($A$6,B48,$D$1,"Departman Toplam",$G$6,$G$5,"Amount Cost")</f>
        <v>162499.99999999994</v>
      </c>
      <c r="F48" s="74">
        <f t="shared" si="0"/>
        <v>-162499.99999999994</v>
      </c>
      <c r="G48" s="75">
        <f t="shared" si="1"/>
        <v>-1</v>
      </c>
      <c r="H48" s="73" cm="1">
        <f t="array" ref="H48">_xll.DBR($A$6,B48,$D$1,"Departman Toplam",$J$6,$J$5,"Amount Cost")</f>
        <v>162500.00000000006</v>
      </c>
      <c r="I48" s="74">
        <f t="shared" si="2"/>
        <v>-162500.00000000006</v>
      </c>
      <c r="J48" s="75">
        <f t="shared" si="3"/>
        <v>-1</v>
      </c>
      <c r="K48" s="73" cm="1">
        <f t="array" ref="K48">_xll.DBR($A$5,B48,$D$1,$L$6,$L$5,"Karşlılık Sonrası - Aylık")</f>
        <v>490265.82014000026</v>
      </c>
      <c r="L48" s="75">
        <f t="shared" si="4"/>
        <v>-1</v>
      </c>
      <c r="M48" s="56"/>
      <c r="N48" s="73" cm="1">
        <f t="array" ref="N48">_xll.DBR($A$5,B48,$D$1,$O$6,$O$5,"Karşılık Sonrası - YTD")</f>
        <v>1612457.0399999989</v>
      </c>
      <c r="O48" s="64"/>
      <c r="P48" s="73" cm="1">
        <f t="array" ref="P48">_xll.DBR($A$6,B48,$D$1,"Departman Toplam",$R$6,$R$5&amp;"-YTD","Amount Cost")</f>
        <v>1786961.0942436571</v>
      </c>
      <c r="Q48" s="74">
        <f t="shared" si="5"/>
        <v>-174504.0542436582</v>
      </c>
      <c r="R48" s="75">
        <f t="shared" si="6"/>
        <v>-9.7654087045201274E-2</v>
      </c>
      <c r="S48" s="73" cm="1">
        <f t="array" ref="S48">_xll.DBR($A$6,B48,$D$1,"Departman Toplam",$U$6,$U$5&amp;"-YTD","Amount Cost")</f>
        <v>1785930.5099999993</v>
      </c>
      <c r="T48" s="74">
        <f t="shared" si="7"/>
        <v>-173473.47000000044</v>
      </c>
      <c r="U48" s="75">
        <f t="shared" si="8"/>
        <v>-9.7133381746191516E-2</v>
      </c>
      <c r="V48" s="73" cm="1">
        <f t="array" ref="V48">_xll.DBR($A$5,B48,$D$1,$W$6,$W$5,"Karşılık Sonrası - YTD")</f>
        <v>1173983.1101400002</v>
      </c>
      <c r="W48" s="75">
        <f t="shared" si="9"/>
        <v>0.37349253670924581</v>
      </c>
    </row>
    <row r="49" spans="2:23">
      <c r="B49" s="56" t="s">
        <v>116</v>
      </c>
      <c r="C49" s="73" cm="1">
        <f t="array" ref="C49">_xll.DBR($A$5,B49,$D$1,$D$6,$D$5,"Karşlılık Sonrası - Aylık")</f>
        <v>0</v>
      </c>
      <c r="D49" s="64"/>
      <c r="E49" s="73" cm="1">
        <f t="array" ref="E49">_xll.DBR($A$6,B49,$D$1,"Departman Toplam",$G$6,$G$5,"Amount Cost")</f>
        <v>2436.77</v>
      </c>
      <c r="F49" s="74">
        <f t="shared" si="0"/>
        <v>-2436.77</v>
      </c>
      <c r="G49" s="75">
        <f t="shared" si="1"/>
        <v>-1</v>
      </c>
      <c r="H49" s="73" cm="1">
        <f t="array" ref="H49">_xll.DBR($A$6,B49,$D$1,"Departman Toplam",$J$6,$J$5,"Amount Cost")</f>
        <v>2436.77</v>
      </c>
      <c r="I49" s="74">
        <f t="shared" si="2"/>
        <v>-2436.77</v>
      </c>
      <c r="J49" s="75">
        <f t="shared" si="3"/>
        <v>-1</v>
      </c>
      <c r="K49" s="73" cm="1">
        <f t="array" ref="K49">_xll.DBR($A$5,B49,$D$1,$L$6,$L$5,"Karşlılık Sonrası - Aylık")</f>
        <v>24206.620000000003</v>
      </c>
      <c r="L49" s="75">
        <f t="shared" si="4"/>
        <v>-1</v>
      </c>
      <c r="M49" s="56"/>
      <c r="N49" s="73" cm="1">
        <f t="array" ref="N49">_xll.DBR($A$5,B49,$D$1,$O$6,$O$5,"Karşılık Sonrası - YTD")</f>
        <v>74401.919999999998</v>
      </c>
      <c r="O49" s="64"/>
      <c r="P49" s="73" cm="1">
        <f t="array" ref="P49">_xll.DBR($A$6,B49,$D$1,"Departman Toplam",$R$6,$R$5&amp;"-YTD","Amount Cost")</f>
        <v>27204.47</v>
      </c>
      <c r="Q49" s="74">
        <f t="shared" si="5"/>
        <v>47197.45</v>
      </c>
      <c r="R49" s="75">
        <f t="shared" si="6"/>
        <v>1.7349152547357105</v>
      </c>
      <c r="S49" s="73" cm="1">
        <f t="array" ref="S49">_xll.DBR($A$6,B49,$D$1,"Departman Toplam",$U$6,$U$5&amp;"-YTD","Amount Cost")</f>
        <v>62849.289999999994</v>
      </c>
      <c r="T49" s="74">
        <f t="shared" si="7"/>
        <v>11552.630000000005</v>
      </c>
      <c r="U49" s="75">
        <f t="shared" si="8"/>
        <v>0.18381480522691673</v>
      </c>
      <c r="V49" s="73" cm="1">
        <f t="array" ref="V49">_xll.DBR($A$5,B49,$D$1,$W$6,$W$5,"Karşılık Sonrası - YTD")</f>
        <v>48001.920000000006</v>
      </c>
      <c r="W49" s="75">
        <f t="shared" si="9"/>
        <v>0.54997800087996462</v>
      </c>
    </row>
    <row r="50" spans="2:23" s="79" customFormat="1" ht="15">
      <c r="B50" s="68" t="s">
        <v>117</v>
      </c>
      <c r="C50" s="69" cm="1">
        <f t="array" ref="C50">_xll.DBR($A$5,B50,$D$1,$D$6,$D$5,"Karşlılık Sonrası - Aylık")</f>
        <v>0</v>
      </c>
      <c r="D50" s="70"/>
      <c r="E50" s="69" cm="1">
        <f t="array" ref="E50">_xll.DBR($A$6,B50,$D$1,"Departman Toplam",$G$6,$G$5,"Amount Cost")</f>
        <v>1105690.4200333334</v>
      </c>
      <c r="F50" s="71">
        <f t="shared" si="0"/>
        <v>-1105690.4200333334</v>
      </c>
      <c r="G50" s="72">
        <f t="shared" si="1"/>
        <v>-1</v>
      </c>
      <c r="H50" s="69" cm="1">
        <f t="array" ref="H50">_xll.DBR($A$6,B50,$D$1,"Departman Toplam",$J$6,$J$5,"Amount Cost")</f>
        <v>972892.75333333353</v>
      </c>
      <c r="I50" s="71">
        <f t="shared" si="2"/>
        <v>-972892.75333333353</v>
      </c>
      <c r="J50" s="72">
        <f t="shared" si="3"/>
        <v>-1</v>
      </c>
      <c r="K50" s="69" cm="1">
        <f t="array" ref="K50">_xll.DBR($A$5,B50,$D$1,$L$6,$L$5,"Karşlılık Sonrası - Aylık")</f>
        <v>1054579.3599999999</v>
      </c>
      <c r="L50" s="72">
        <f t="shared" si="4"/>
        <v>-1</v>
      </c>
      <c r="M50" s="68"/>
      <c r="N50" s="69" cm="1">
        <f t="array" ref="N50">_xll.DBR($A$5,B50,$D$1,$O$6,$O$5,"Karşılık Sonrası - YTD")</f>
        <v>7872736.4400000032</v>
      </c>
      <c r="O50" s="70"/>
      <c r="P50" s="69" cm="1">
        <f t="array" ref="P50">_xll.DBR($A$6,B50,$D$1,"Departman Toplam",$R$6,$R$5&amp;"-YTD","Amount Cost")</f>
        <v>11194219.28676668</v>
      </c>
      <c r="Q50" s="71">
        <f t="shared" si="5"/>
        <v>-3321482.8467666768</v>
      </c>
      <c r="R50" s="72">
        <f t="shared" si="6"/>
        <v>-0.29671411303271411</v>
      </c>
      <c r="S50" s="69" cm="1">
        <f t="array" ref="S50">_xll.DBR($A$6,B50,$D$1,"Departman Toplam",$U$6,$U$5&amp;"-YTD","Amount Cost")</f>
        <v>8759585.5866666678</v>
      </c>
      <c r="T50" s="71">
        <f t="shared" si="7"/>
        <v>-886849.14666666463</v>
      </c>
      <c r="U50" s="72">
        <f t="shared" si="8"/>
        <v>-0.10124327662447581</v>
      </c>
      <c r="V50" s="69" cm="1">
        <f t="array" ref="V50">_xll.DBR($A$5,B50,$D$1,$W$6,$W$5,"Karşılık Sonrası - YTD")</f>
        <v>9097167.3300000094</v>
      </c>
      <c r="W50" s="72">
        <f t="shared" si="9"/>
        <v>-0.1345947420316391</v>
      </c>
    </row>
    <row r="51" spans="2:23">
      <c r="B51" s="56" t="s">
        <v>118</v>
      </c>
      <c r="C51" s="73" cm="1">
        <f t="array" ref="C51">_xll.DBR($A$5,B51,$D$1,$D$6,$D$5,"Karşlılık Sonrası - Aylık")</f>
        <v>0</v>
      </c>
      <c r="D51" s="64"/>
      <c r="E51" s="73" cm="1">
        <f t="array" ref="E51">_xll.DBR($A$6,B51,$D$1,"Departman Toplam",$G$6,$G$5,"Amount Cost")</f>
        <v>720484.30333333334</v>
      </c>
      <c r="F51" s="74">
        <f t="shared" si="0"/>
        <v>-720484.30333333334</v>
      </c>
      <c r="G51" s="75">
        <f t="shared" si="1"/>
        <v>-1</v>
      </c>
      <c r="H51" s="73" cm="1">
        <f t="array" ref="H51">_xll.DBR($A$6,B51,$D$1,"Departman Toplam",$J$6,$J$5,"Amount Cost")</f>
        <v>626484.30333333346</v>
      </c>
      <c r="I51" s="74">
        <f t="shared" si="2"/>
        <v>-626484.30333333346</v>
      </c>
      <c r="J51" s="75">
        <f t="shared" si="3"/>
        <v>-1</v>
      </c>
      <c r="K51" s="73" cm="1">
        <f t="array" ref="K51">_xll.DBR($A$5,B51,$D$1,$L$6,$L$5,"Karşlılık Sonrası - Aylık")</f>
        <v>652659.17000000004</v>
      </c>
      <c r="L51" s="75">
        <f t="shared" si="4"/>
        <v>-1</v>
      </c>
      <c r="M51" s="56"/>
      <c r="N51" s="73" cm="1">
        <f t="array" ref="N51">_xll.DBR($A$5,B51,$D$1,$O$6,$O$5,"Karşılık Sonrası - YTD")</f>
        <v>5575665.5000000019</v>
      </c>
      <c r="O51" s="64"/>
      <c r="P51" s="73" cm="1">
        <f t="array" ref="P51">_xll.DBR($A$6,B51,$D$1,"Departman Toplam",$R$6,$R$5&amp;"-YTD","Amount Cost")</f>
        <v>7902720.3366666688</v>
      </c>
      <c r="Q51" s="74">
        <f t="shared" si="5"/>
        <v>-2327054.8366666669</v>
      </c>
      <c r="R51" s="75">
        <f t="shared" si="6"/>
        <v>-0.2944625062675833</v>
      </c>
      <c r="S51" s="73" cm="1">
        <f t="array" ref="S51">_xll.DBR($A$6,B51,$D$1,"Departman Toplam",$U$6,$U$5&amp;"-YTD","Amount Cost")</f>
        <v>5958766.8766666679</v>
      </c>
      <c r="T51" s="74">
        <f t="shared" si="7"/>
        <v>-383101.37666666601</v>
      </c>
      <c r="U51" s="75">
        <f t="shared" si="8"/>
        <v>-6.4292056493569824E-2</v>
      </c>
      <c r="V51" s="73" cm="1">
        <f t="array" ref="V51">_xll.DBR($A$5,B51,$D$1,$W$6,$W$5,"Karşılık Sonrası - YTD")</f>
        <v>6031683.9800000042</v>
      </c>
      <c r="W51" s="75">
        <f t="shared" si="9"/>
        <v>-7.5603841565983695E-2</v>
      </c>
    </row>
    <row r="52" spans="2:23">
      <c r="B52" s="56" t="s">
        <v>119</v>
      </c>
      <c r="C52" s="73" cm="1">
        <f t="array" ref="C52">_xll.DBR($A$5,B52,$D$1,$D$6,$D$5,"Karşlılık Sonrası - Aylık")</f>
        <v>0</v>
      </c>
      <c r="D52" s="64"/>
      <c r="E52" s="73" cm="1">
        <f t="array" ref="E52">_xll.DBR($A$6,B52,$D$1,"Departman Toplam",$G$6,$G$5,"Amount Cost")</f>
        <v>102442.29999999999</v>
      </c>
      <c r="F52" s="74">
        <f t="shared" si="0"/>
        <v>-102442.29999999999</v>
      </c>
      <c r="G52" s="75">
        <f t="shared" si="1"/>
        <v>-1</v>
      </c>
      <c r="H52" s="73" cm="1">
        <f t="array" ref="H52">_xll.DBR($A$6,B52,$D$1,"Departman Toplam",$J$6,$J$5,"Amount Cost")</f>
        <v>95619.299999999988</v>
      </c>
      <c r="I52" s="74">
        <f t="shared" si="2"/>
        <v>-95619.299999999988</v>
      </c>
      <c r="J52" s="75">
        <f t="shared" si="3"/>
        <v>-1</v>
      </c>
      <c r="K52" s="73" cm="1">
        <f t="array" ref="K52">_xll.DBR($A$5,B52,$D$1,$L$6,$L$5,"Karşlılık Sonrası - Aylık")</f>
        <v>63626.439999999784</v>
      </c>
      <c r="L52" s="75">
        <f t="shared" si="4"/>
        <v>-1</v>
      </c>
      <c r="M52" s="56"/>
      <c r="N52" s="73" cm="1">
        <f t="array" ref="N52">_xll.DBR($A$5,B52,$D$1,$O$6,$O$5,"Karşılık Sonrası - YTD")</f>
        <v>571970.92000000004</v>
      </c>
      <c r="O52" s="64"/>
      <c r="P52" s="73" cm="1">
        <f t="array" ref="P52">_xll.DBR($A$6,B52,$D$1,"Departman Toplam",$R$6,$R$5&amp;"-YTD","Amount Cost")</f>
        <v>1123132.3</v>
      </c>
      <c r="Q52" s="74">
        <f t="shared" si="5"/>
        <v>-551161.38</v>
      </c>
      <c r="R52" s="75">
        <f t="shared" si="6"/>
        <v>-0.49073593556164308</v>
      </c>
      <c r="S52" s="73" cm="1">
        <f t="array" ref="S52">_xll.DBR($A$6,B52,$D$1,"Departman Toplam",$U$6,$U$5&amp;"-YTD","Amount Cost")</f>
        <v>709890.98</v>
      </c>
      <c r="T52" s="74">
        <f t="shared" si="7"/>
        <v>-137920.05999999994</v>
      </c>
      <c r="U52" s="75">
        <f t="shared" si="8"/>
        <v>-0.19428343771884515</v>
      </c>
      <c r="V52" s="73" cm="1">
        <f t="array" ref="V52">_xll.DBR($A$5,B52,$D$1,$W$6,$W$5,"Karşılık Sonrası - YTD")</f>
        <v>711636.11000000406</v>
      </c>
      <c r="W52" s="75">
        <f t="shared" si="9"/>
        <v>-0.19625927919818911</v>
      </c>
    </row>
    <row r="53" spans="2:23">
      <c r="B53" s="56" t="s">
        <v>120</v>
      </c>
      <c r="C53" s="73" cm="1">
        <f t="array" ref="C53">_xll.DBR($A$5,B53,$D$1,$D$6,$D$5,"Karşlılık Sonrası - Aylık")</f>
        <v>0</v>
      </c>
      <c r="D53" s="64"/>
      <c r="E53" s="73" cm="1">
        <f t="array" ref="E53">_xll.DBR($A$6,B53,$D$1,"Departman Toplam",$G$6,$G$5,"Amount Cost")</f>
        <v>166097.15</v>
      </c>
      <c r="F53" s="74">
        <f t="shared" si="0"/>
        <v>-166097.15</v>
      </c>
      <c r="G53" s="75">
        <f t="shared" si="1"/>
        <v>-1</v>
      </c>
      <c r="H53" s="73" cm="1">
        <f t="array" ref="H53">_xll.DBR($A$6,B53,$D$1,"Departman Toplam",$J$6,$J$5,"Amount Cost")</f>
        <v>134122.15</v>
      </c>
      <c r="I53" s="74">
        <f t="shared" si="2"/>
        <v>-134122.15</v>
      </c>
      <c r="J53" s="75">
        <f t="shared" si="3"/>
        <v>-1</v>
      </c>
      <c r="K53" s="73" cm="1">
        <f t="array" ref="K53">_xll.DBR($A$5,B53,$D$1,$L$6,$L$5,"Karşlılık Sonrası - Aylık")</f>
        <v>96873.610000000044</v>
      </c>
      <c r="L53" s="75">
        <f t="shared" si="4"/>
        <v>-1</v>
      </c>
      <c r="M53" s="56"/>
      <c r="N53" s="73" cm="1">
        <f t="array" ref="N53">_xll.DBR($A$5,B53,$D$1,$O$6,$O$5,"Karşılık Sonrası - YTD")</f>
        <v>1618181.5900000019</v>
      </c>
      <c r="O53" s="64"/>
      <c r="P53" s="73" cm="1">
        <f t="array" ref="P53">_xll.DBR($A$6,B53,$D$1,"Departman Toplam",$R$6,$R$5&amp;"-YTD","Amount Cost")</f>
        <v>1818366.6499999997</v>
      </c>
      <c r="Q53" s="74">
        <f t="shared" si="5"/>
        <v>-200185.05999999773</v>
      </c>
      <c r="R53" s="75">
        <f t="shared" si="6"/>
        <v>-0.11009059146569684</v>
      </c>
      <c r="S53" s="73" cm="1">
        <f t="array" ref="S53">_xll.DBR($A$6,B53,$D$1,"Departman Toplam",$U$6,$U$5&amp;"-YTD","Amount Cost")</f>
        <v>1752401.99</v>
      </c>
      <c r="T53" s="74">
        <f t="shared" si="7"/>
        <v>-134220.39999999804</v>
      </c>
      <c r="U53" s="75">
        <f t="shared" si="8"/>
        <v>-7.6592243541105567E-2</v>
      </c>
      <c r="V53" s="73" cm="1">
        <f t="array" ref="V53">_xll.DBR($A$5,B53,$D$1,$W$6,$W$5,"Karşılık Sonrası - YTD")</f>
        <v>1094871.9500000014</v>
      </c>
      <c r="W53" s="75">
        <f t="shared" si="9"/>
        <v>0.47796424047579256</v>
      </c>
    </row>
    <row r="54" spans="2:23">
      <c r="B54" s="56" t="s">
        <v>121</v>
      </c>
      <c r="C54" s="73" cm="1">
        <f t="array" ref="C54">_xll.DBR($A$5,B54,$D$1,$D$6,$D$5,"Karşlılık Sonrası - Aylık")</f>
        <v>0</v>
      </c>
      <c r="D54" s="64"/>
      <c r="E54" s="73" cm="1">
        <f t="array" ref="E54">_xll.DBR($A$6,B54,$D$1,"Departman Toplam",$G$6,$G$5,"Amount Cost")</f>
        <v>116666.6667</v>
      </c>
      <c r="F54" s="74">
        <f t="shared" si="0"/>
        <v>-116666.6667</v>
      </c>
      <c r="G54" s="75">
        <f t="shared" si="1"/>
        <v>-1</v>
      </c>
      <c r="H54" s="73" cm="1">
        <f t="array" ref="H54">_xll.DBR($A$6,B54,$D$1,"Departman Toplam",$J$6,$J$5,"Amount Cost")</f>
        <v>116667</v>
      </c>
      <c r="I54" s="74">
        <f t="shared" si="2"/>
        <v>-116667</v>
      </c>
      <c r="J54" s="75">
        <f t="shared" si="3"/>
        <v>-1</v>
      </c>
      <c r="K54" s="73" cm="1">
        <f t="array" ref="K54">_xll.DBR($A$5,B54,$D$1,$L$6,$L$5,"Karşlılık Sonrası - Aylık")</f>
        <v>241420.14</v>
      </c>
      <c r="L54" s="75">
        <f t="shared" si="4"/>
        <v>-1</v>
      </c>
      <c r="M54" s="56"/>
      <c r="N54" s="73" cm="1">
        <f t="array" ref="N54">_xll.DBR($A$5,B54,$D$1,$O$6,$O$5,"Karşılık Sonrası - YTD")</f>
        <v>106918.43</v>
      </c>
      <c r="O54" s="64"/>
      <c r="P54" s="73" cm="1">
        <f t="array" ref="P54">_xll.DBR($A$6,B54,$D$1,"Departman Toplam",$R$6,$R$5&amp;"-YTD","Amount Cost")</f>
        <v>350000.0001</v>
      </c>
      <c r="Q54" s="74">
        <f t="shared" si="5"/>
        <v>-243081.57010000001</v>
      </c>
      <c r="R54" s="75">
        <f t="shared" si="6"/>
        <v>-0.69451877151585184</v>
      </c>
      <c r="S54" s="73" cm="1">
        <f t="array" ref="S54">_xll.DBR($A$6,B54,$D$1,"Departman Toplam",$U$6,$U$5&amp;"-YTD","Amount Cost")</f>
        <v>338525.73999999993</v>
      </c>
      <c r="T54" s="74">
        <f t="shared" si="7"/>
        <v>-231607.30999999994</v>
      </c>
      <c r="U54" s="75">
        <f t="shared" si="8"/>
        <v>-0.68416454831470119</v>
      </c>
      <c r="V54" s="73" cm="1">
        <f t="array" ref="V54">_xll.DBR($A$5,B54,$D$1,$W$6,$W$5,"Karşılık Sonrası - YTD")</f>
        <v>1258975.2900000003</v>
      </c>
      <c r="W54" s="75">
        <f t="shared" si="9"/>
        <v>-0.91507503693738113</v>
      </c>
    </row>
    <row r="55" spans="2:23">
      <c r="B55" s="56" t="s">
        <v>122</v>
      </c>
      <c r="C55" s="73" cm="1">
        <f t="array" ref="C55">_xll.DBR($A$5,B55,$D$1,$D$6,$D$5,"Karşlılık Sonrası - Aylık")</f>
        <v>0</v>
      </c>
      <c r="D55" s="64"/>
      <c r="E55" s="73" cm="1">
        <f t="array" ref="E55">_xll.DBR($A$6,B55,$D$1,"Departman Toplam",$G$6,$G$5,"Amount Cost")</f>
        <v>2889630.5600000089</v>
      </c>
      <c r="F55" s="74">
        <f t="shared" si="0"/>
        <v>-2889630.5600000089</v>
      </c>
      <c r="G55" s="75">
        <f t="shared" si="1"/>
        <v>-1</v>
      </c>
      <c r="H55" s="73" cm="1">
        <f t="array" ref="H55">_xll.DBR($A$6,B55,$D$1,"Departman Toplam",$J$6,$J$5,"Amount Cost")</f>
        <v>3437580.8900000015</v>
      </c>
      <c r="I55" s="74">
        <f t="shared" si="2"/>
        <v>-3437580.8900000015</v>
      </c>
      <c r="J55" s="75">
        <f t="shared" si="3"/>
        <v>-1</v>
      </c>
      <c r="K55" s="73" cm="1">
        <f t="array" ref="K55">_xll.DBR($A$5,B55,$D$1,$L$6,$L$5,"Karşlılık Sonrası - Aylık")</f>
        <v>2105928.6299999985</v>
      </c>
      <c r="L55" s="75">
        <f t="shared" si="4"/>
        <v>-1</v>
      </c>
      <c r="M55" s="56"/>
      <c r="N55" s="73" cm="1">
        <f t="array" ref="N55">_xll.DBR($A$5,B55,$D$1,$O$6,$O$5,"Karşılık Sonrası - YTD")</f>
        <v>34306736.659999877</v>
      </c>
      <c r="O55" s="64"/>
      <c r="P55" s="73" cm="1">
        <f t="array" ref="P55">_xll.DBR($A$6,B55,$D$1,"Departman Toplam",$R$6,$R$5&amp;"-YTD","Amount Cost")</f>
        <v>31720816.160000127</v>
      </c>
      <c r="Q55" s="74">
        <f t="shared" si="5"/>
        <v>2585920.4999997504</v>
      </c>
      <c r="R55" s="75">
        <f t="shared" si="6"/>
        <v>8.1521247339801747E-2</v>
      </c>
      <c r="S55" s="73" cm="1">
        <f t="array" ref="S55">_xll.DBR($A$6,B55,$D$1,"Departman Toplam",$U$6,$U$5&amp;"-YTD","Amount Cost")</f>
        <v>36745059.56000004</v>
      </c>
      <c r="T55" s="74">
        <f t="shared" si="7"/>
        <v>-2438322.9000001624</v>
      </c>
      <c r="U55" s="75">
        <f t="shared" si="8"/>
        <v>-6.6357843182120554E-2</v>
      </c>
      <c r="V55" s="73" cm="1">
        <f t="array" ref="V55">_xll.DBR($A$5,B55,$D$1,$W$6,$W$5,"Karşılık Sonrası - YTD")</f>
        <v>21493018.840000015</v>
      </c>
      <c r="W55" s="75">
        <f t="shared" si="9"/>
        <v>0.59618045819383159</v>
      </c>
    </row>
    <row r="56" spans="2:23">
      <c r="B56" s="56" t="s">
        <v>123</v>
      </c>
      <c r="C56" s="73" cm="1">
        <f t="array" ref="C56">_xll.DBR($A$5,B56,$D$1,$D$6,$D$5,"Karşlılık Sonrası - Aylık")</f>
        <v>0</v>
      </c>
      <c r="D56" s="64"/>
      <c r="E56" s="73" cm="1">
        <f t="array" ref="E56">_xll.DBR($A$6,B56,$D$1,"Departman Toplam",$G$6,$G$5,"Amount Cost")</f>
        <v>5038683.4584210664</v>
      </c>
      <c r="F56" s="74">
        <f t="shared" si="0"/>
        <v>-5038683.4584210664</v>
      </c>
      <c r="G56" s="75">
        <f t="shared" si="1"/>
        <v>-1</v>
      </c>
      <c r="H56" s="73" cm="1">
        <f t="array" ref="H56">_xll.DBR($A$6,B56,$D$1,"Departman Toplam",$J$6,$J$5,"Amount Cost")</f>
        <v>4330851.2872709986</v>
      </c>
      <c r="I56" s="74">
        <f t="shared" si="2"/>
        <v>-4330851.2872709986</v>
      </c>
      <c r="J56" s="75">
        <f t="shared" si="3"/>
        <v>-1</v>
      </c>
      <c r="K56" s="73" cm="1">
        <f t="array" ref="K56">_xll.DBR($A$5,B56,$D$1,$L$6,$L$5,"Karşlılık Sonrası - Aylık")</f>
        <v>3731362.399999999</v>
      </c>
      <c r="L56" s="75">
        <f t="shared" si="4"/>
        <v>-1</v>
      </c>
      <c r="M56" s="56"/>
      <c r="N56" s="73" cm="1">
        <f t="array" ref="N56">_xll.DBR($A$5,B56,$D$1,$O$6,$O$5,"Karşılık Sonrası - YTD")</f>
        <v>58397875.700000003</v>
      </c>
      <c r="O56" s="64"/>
      <c r="P56" s="73" cm="1">
        <f t="array" ref="P56">_xll.DBR($A$6,B56,$D$1,"Departman Toplam",$R$6,$R$5&amp;"-YTD","Amount Cost")</f>
        <v>64517786.860523</v>
      </c>
      <c r="Q56" s="74">
        <f t="shared" si="5"/>
        <v>-6119911.1605229974</v>
      </c>
      <c r="R56" s="75">
        <f t="shared" si="6"/>
        <v>-9.4856185531491555E-2</v>
      </c>
      <c r="S56" s="73" cm="1">
        <f t="array" ref="S56">_xll.DBR($A$6,B56,$D$1,"Departman Toplam",$U$6,$U$5&amp;"-YTD","Amount Cost")</f>
        <v>62736029.123255007</v>
      </c>
      <c r="T56" s="74">
        <f t="shared" si="7"/>
        <v>-4338153.423255004</v>
      </c>
      <c r="U56" s="75">
        <f t="shared" si="8"/>
        <v>-6.9149314737979431E-2</v>
      </c>
      <c r="V56" s="73" cm="1">
        <f t="array" ref="V56">_xll.DBR($A$5,B56,$D$1,$W$6,$W$5,"Karşılık Sonrası - YTD")</f>
        <v>35461429.299999997</v>
      </c>
      <c r="W56" s="75">
        <f t="shared" si="9"/>
        <v>0.64679982879313913</v>
      </c>
    </row>
    <row r="57" spans="2:23" s="79" customFormat="1" ht="15">
      <c r="B57" s="68" t="s">
        <v>124</v>
      </c>
      <c r="C57" s="69" cm="1">
        <f t="array" ref="C57">_xll.DBR($A$5,B57,$D$1,$D$6,$D$5,"Karşlılık Sonrası - Aylık")</f>
        <v>216071687.78000003</v>
      </c>
      <c r="D57" s="70"/>
      <c r="E57" s="69" cm="1">
        <f t="array" ref="E57">_xll.DBR($A$6,B57,$D$1,"Departman Toplam",$G$6,$G$5,"Amount Cost")</f>
        <v>50245120.494245365</v>
      </c>
      <c r="F57" s="71">
        <f t="shared" si="0"/>
        <v>165826567.28575468</v>
      </c>
      <c r="G57" s="72">
        <f t="shared" si="1"/>
        <v>3.3003516690689794</v>
      </c>
      <c r="H57" s="69" cm="1">
        <f t="array" ref="H57">_xll.DBR($A$6,B57,$D$1,"Departman Toplam",$J$6,$J$5,"Amount Cost")</f>
        <v>37367975.78418573</v>
      </c>
      <c r="I57" s="71">
        <f t="shared" si="2"/>
        <v>178703711.99581429</v>
      </c>
      <c r="J57" s="72">
        <f t="shared" si="3"/>
        <v>4.7822689949248574</v>
      </c>
      <c r="K57" s="69" cm="1">
        <f t="array" ref="K57">_xll.DBR($A$5,B57,$D$1,$L$6,$L$5,"Karşlılık Sonrası - Aylık")</f>
        <v>50733218.325600006</v>
      </c>
      <c r="L57" s="72">
        <f t="shared" si="4"/>
        <v>3.2589785334192007</v>
      </c>
      <c r="M57" s="68"/>
      <c r="N57" s="69" cm="1">
        <f t="array" ref="N57">_xll.DBR($A$5,B57,$D$1,$O$6,$O$5,"Karşılık Sonrası - YTD")</f>
        <v>461413691.6500001</v>
      </c>
      <c r="O57" s="70"/>
      <c r="P57" s="69" cm="1">
        <f t="array" ref="P57">_xll.DBR($A$6,B57,$D$1,"Departman Toplam",$R$6,$R$5&amp;"-YTD","Amount Cost")</f>
        <v>335900732.54373074</v>
      </c>
      <c r="Q57" s="71">
        <f t="shared" si="5"/>
        <v>125512959.10626936</v>
      </c>
      <c r="R57" s="72">
        <f t="shared" si="6"/>
        <v>0.37366086747050753</v>
      </c>
      <c r="S57" s="69" cm="1">
        <f t="array" ref="S57">_xll.DBR($A$6,B57,$D$1,"Departman Toplam",$U$6,$U$5&amp;"-YTD","Amount Cost")</f>
        <v>270025259.04944223</v>
      </c>
      <c r="T57" s="71">
        <f t="shared" si="7"/>
        <v>191388432.60055786</v>
      </c>
      <c r="U57" s="72">
        <f t="shared" si="8"/>
        <v>0.70877973888181411</v>
      </c>
      <c r="V57" s="69" cm="1">
        <f t="array" ref="V57">_xll.DBR($A$5,B57,$D$1,$W$6,$W$5,"Karşılık Sonrası - YTD")</f>
        <v>275378160.20684993</v>
      </c>
      <c r="W57" s="72">
        <f t="shared" si="9"/>
        <v>0.67556385482207382</v>
      </c>
    </row>
    <row r="58" spans="2:23">
      <c r="B58" s="56" t="s">
        <v>125</v>
      </c>
      <c r="C58" s="73" cm="1">
        <f t="array" ref="C58">_xll.DBR($A$5,B58,$D$1,$D$6,$D$5,"Karşlılık Sonrası - Aylık")</f>
        <v>0</v>
      </c>
      <c r="D58" s="64"/>
      <c r="E58" s="73" cm="1">
        <f t="array" ref="E58">_xll.DBR($A$6,B58,$D$1,"Departman Toplam",$G$6,$G$5,"Amount Cost")</f>
        <v>0</v>
      </c>
      <c r="F58" s="74">
        <f t="shared" si="0"/>
        <v>0</v>
      </c>
      <c r="G58" s="75">
        <f t="shared" si="1"/>
        <v>0</v>
      </c>
      <c r="H58" s="73" cm="1">
        <f t="array" ref="H58">_xll.DBR($A$6,B58,$D$1,"Departman Toplam",$J$6,$J$5,"Amount Cost")</f>
        <v>0</v>
      </c>
      <c r="I58" s="74">
        <f t="shared" si="2"/>
        <v>0</v>
      </c>
      <c r="J58" s="75">
        <f t="shared" si="3"/>
        <v>0</v>
      </c>
      <c r="K58" s="73" cm="1">
        <f t="array" ref="K58">_xll.DBR($A$5,B58,$D$1,$L$6,$L$5,"Karşlılık Sonrası - Aylık")</f>
        <v>0</v>
      </c>
      <c r="L58" s="75">
        <f t="shared" si="4"/>
        <v>0</v>
      </c>
      <c r="M58" s="56"/>
      <c r="N58" s="73" cm="1">
        <f t="array" ref="N58">_xll.DBR($A$5,B58,$D$1,$O$6,$O$5,"Karşılık Sonrası - YTD")</f>
        <v>0</v>
      </c>
      <c r="O58" s="64"/>
      <c r="P58" s="73" cm="1">
        <f t="array" ref="P58">_xll.DBR($A$6,B58,$D$1,"Departman Toplam",$R$6,$R$5&amp;"-YTD","Amount Cost")</f>
        <v>0</v>
      </c>
      <c r="Q58" s="74">
        <f t="shared" si="5"/>
        <v>0</v>
      </c>
      <c r="R58" s="75">
        <f t="shared" si="6"/>
        <v>0</v>
      </c>
      <c r="S58" s="73" cm="1">
        <f t="array" ref="S58">_xll.DBR($A$6,B58,$D$1,"Departman Toplam",$U$6,$U$5&amp;"-YTD","Amount Cost")</f>
        <v>0</v>
      </c>
      <c r="T58" s="74">
        <f t="shared" si="7"/>
        <v>0</v>
      </c>
      <c r="U58" s="75">
        <f t="shared" si="8"/>
        <v>0</v>
      </c>
      <c r="V58" s="73" cm="1">
        <f t="array" ref="V58">_xll.DBR($A$5,B58,$D$1,$W$6,$W$5,"Karşılık Sonrası - YTD")</f>
        <v>0</v>
      </c>
      <c r="W58" s="75">
        <f t="shared" si="9"/>
        <v>0</v>
      </c>
    </row>
    <row r="59" spans="2:23">
      <c r="B59" s="56" t="s">
        <v>126</v>
      </c>
      <c r="C59" s="73" cm="1">
        <f t="array" ref="C59">_xll.DBR($A$5,B59,$D$1,$D$6,$D$5,"Karşlılık Sonrası - Aylık")</f>
        <v>72955228.029999971</v>
      </c>
      <c r="D59" s="64"/>
      <c r="E59" s="73" cm="1">
        <f t="array" ref="E59">_xll.DBR($A$6,B59,$D$1,"Departman Toplam",$G$6,$G$5,"Amount Cost")</f>
        <v>8544158.4136161543</v>
      </c>
      <c r="F59" s="74">
        <f t="shared" si="0"/>
        <v>64411069.616383821</v>
      </c>
      <c r="G59" s="75">
        <f t="shared" si="1"/>
        <v>7.538609011946332</v>
      </c>
      <c r="H59" s="73" cm="1">
        <f t="array" ref="H59">_xll.DBR($A$6,B59,$D$1,"Departman Toplam",$J$6,$J$5,"Amount Cost")</f>
        <v>6425079.1354762018</v>
      </c>
      <c r="I59" s="74">
        <f t="shared" si="2"/>
        <v>66530148.89452377</v>
      </c>
      <c r="J59" s="75">
        <f t="shared" si="3"/>
        <v>10.35475944991498</v>
      </c>
      <c r="K59" s="73" cm="1">
        <f t="array" ref="K59">_xll.DBR($A$5,B59,$D$1,$L$6,$L$5,"Karşlılık Sonrası - Aylık")</f>
        <v>22335014.402759999</v>
      </c>
      <c r="L59" s="75">
        <f t="shared" si="4"/>
        <v>2.2664061331872118</v>
      </c>
      <c r="M59" s="56"/>
      <c r="N59" s="73" cm="1">
        <f t="array" ref="N59">_xll.DBR($A$5,B59,$D$1,$O$6,$O$5,"Karşılık Sonrası - YTD")</f>
        <v>146901236.62999997</v>
      </c>
      <c r="O59" s="64"/>
      <c r="P59" s="73" cm="1">
        <f t="array" ref="P59">_xll.DBR($A$6,B59,$D$1,"Departman Toplam",$R$6,$R$5&amp;"-YTD","Amount Cost")</f>
        <v>78632365.535226926</v>
      </c>
      <c r="Q59" s="74">
        <f t="shared" si="5"/>
        <v>68268871.094773039</v>
      </c>
      <c r="R59" s="75">
        <f t="shared" si="6"/>
        <v>0.86820319635670773</v>
      </c>
      <c r="S59" s="73" cm="1">
        <f t="array" ref="S59">_xll.DBR($A$6,B59,$D$1,"Departman Toplam",$U$6,$U$5&amp;"-YTD","Amount Cost")</f>
        <v>78029925.503412738</v>
      </c>
      <c r="T59" s="74">
        <f t="shared" si="7"/>
        <v>68871311.126587227</v>
      </c>
      <c r="U59" s="75">
        <f t="shared" si="8"/>
        <v>0.88262689836318053</v>
      </c>
      <c r="V59" s="73" cm="1">
        <f t="array" ref="V59">_xll.DBR($A$5,B59,$D$1,$W$6,$W$5,"Karşılık Sonrası - YTD")</f>
        <v>124683511.1927799</v>
      </c>
      <c r="W59" s="75">
        <f t="shared" si="9"/>
        <v>0.17819297214744012</v>
      </c>
    </row>
    <row r="60" spans="2:23">
      <c r="B60" s="56" t="s">
        <v>127</v>
      </c>
      <c r="C60" s="73" cm="1">
        <f t="array" ref="C60">_xll.DBR($A$5,B60,$D$1,$D$6,$D$5,"Karşlılık Sonrası - Aylık")</f>
        <v>16516354.309999997</v>
      </c>
      <c r="D60" s="64"/>
      <c r="E60" s="73" cm="1">
        <f t="array" ref="E60">_xll.DBR($A$6,B60,$D$1,"Departman Toplam",$G$6,$G$5,"Amount Cost")</f>
        <v>28560860.339032758</v>
      </c>
      <c r="F60" s="74">
        <f t="shared" si="0"/>
        <v>-12044506.029032761</v>
      </c>
      <c r="G60" s="75">
        <f t="shared" si="1"/>
        <v>-0.42171369790888663</v>
      </c>
      <c r="H60" s="73" cm="1">
        <f t="array" ref="H60">_xll.DBR($A$6,B60,$D$1,"Departman Toplam",$J$6,$J$5,"Amount Cost")</f>
        <v>16521639.236891666</v>
      </c>
      <c r="I60" s="74">
        <f t="shared" si="2"/>
        <v>-5284.926891669631</v>
      </c>
      <c r="J60" s="75">
        <f t="shared" si="3"/>
        <v>-3.1987908801862458E-4</v>
      </c>
      <c r="K60" s="73" cm="1">
        <f t="array" ref="K60">_xll.DBR($A$5,B60,$D$1,$L$6,$L$5,"Karşlılık Sonrası - Aylık")</f>
        <v>16440541.51568</v>
      </c>
      <c r="L60" s="75">
        <f t="shared" si="4"/>
        <v>4.6113319471679766E-3</v>
      </c>
      <c r="M60" s="56"/>
      <c r="N60" s="73" cm="1">
        <f t="array" ref="N60">_xll.DBR($A$5,B60,$D$1,$O$6,$O$5,"Karşılık Sonrası - YTD")</f>
        <v>101002190</v>
      </c>
      <c r="O60" s="64"/>
      <c r="P60" s="73" cm="1">
        <f t="array" ref="P60">_xll.DBR($A$6,B60,$D$1,"Departman Toplam",$R$6,$R$5&amp;"-YTD","Amount Cost")</f>
        <v>141413808.11776516</v>
      </c>
      <c r="Q60" s="74">
        <f t="shared" si="5"/>
        <v>-40411618.117765158</v>
      </c>
      <c r="R60" s="75">
        <f t="shared" si="6"/>
        <v>-0.28576854449822597</v>
      </c>
      <c r="S60" s="73" cm="1">
        <f t="array" ref="S60">_xll.DBR($A$6,B60,$D$1,"Departman Toplam",$U$6,$U$5&amp;"-YTD","Amount Cost")</f>
        <v>92316979.063658327</v>
      </c>
      <c r="T60" s="74">
        <f t="shared" si="7"/>
        <v>8685210.9363416731</v>
      </c>
      <c r="U60" s="75">
        <f t="shared" si="8"/>
        <v>9.4080320049821795E-2</v>
      </c>
      <c r="V60" s="73" cm="1">
        <f t="array" ref="V60">_xll.DBR($A$5,B60,$D$1,$W$6,$W$5,"Karşılık Sonrası - YTD")</f>
        <v>70477251.674549997</v>
      </c>
      <c r="W60" s="75">
        <f t="shared" si="9"/>
        <v>0.43311760320064874</v>
      </c>
    </row>
    <row r="61" spans="2:23">
      <c r="B61" s="56" t="s">
        <v>128</v>
      </c>
      <c r="C61" s="73" cm="1">
        <f t="array" ref="C61">_xll.DBR($A$5,B61,$D$1,$D$6,$D$5,"Karşlılık Sonrası - Aylık")</f>
        <v>116697430.64000008</v>
      </c>
      <c r="D61" s="64"/>
      <c r="E61" s="73" cm="1">
        <f t="array" ref="E61">_xll.DBR($A$6,B61,$D$1,"Departman Toplam",$G$6,$G$5,"Amount Cost")</f>
        <v>12022927.810303727</v>
      </c>
      <c r="F61" s="74">
        <f t="shared" si="0"/>
        <v>104674502.82969634</v>
      </c>
      <c r="G61" s="75">
        <f t="shared" si="1"/>
        <v>8.7062406496352427</v>
      </c>
      <c r="H61" s="73" cm="1">
        <f t="array" ref="H61">_xll.DBR($A$6,B61,$D$1,"Departman Toplam",$J$6,$J$5,"Amount Cost")</f>
        <v>11713054.684682855</v>
      </c>
      <c r="I61" s="74">
        <f t="shared" si="2"/>
        <v>104984375.95531721</v>
      </c>
      <c r="J61" s="75">
        <f t="shared" si="3"/>
        <v>8.9630227794125421</v>
      </c>
      <c r="K61" s="73" cm="1">
        <f t="array" ref="K61">_xll.DBR($A$5,B61,$D$1,$L$6,$L$5,"Karşlılık Sonrası - Aylık")</f>
        <v>11105471.797160005</v>
      </c>
      <c r="L61" s="75">
        <f t="shared" si="4"/>
        <v>9.508102021369595</v>
      </c>
      <c r="M61" s="56"/>
      <c r="N61" s="73" cm="1">
        <f t="array" ref="N61">_xll.DBR($A$5,B61,$D$1,$O$6,$O$5,"Karşılık Sonrası - YTD")</f>
        <v>172220171.59000009</v>
      </c>
      <c r="O61" s="64"/>
      <c r="P61" s="73" cm="1">
        <f t="array" ref="P61">_xll.DBR($A$6,B61,$D$1,"Departman Toplam",$R$6,$R$5&amp;"-YTD","Amount Cost")</f>
        <v>107064262.53088145</v>
      </c>
      <c r="Q61" s="74">
        <f t="shared" si="5"/>
        <v>65155909.059118643</v>
      </c>
      <c r="R61" s="75">
        <f t="shared" si="6"/>
        <v>0.6085682329369726</v>
      </c>
      <c r="S61" s="73" cm="1">
        <f t="array" ref="S61">_xll.DBR($A$6,B61,$D$1,"Departman Toplam",$U$6,$U$5&amp;"-YTD","Amount Cost")</f>
        <v>66109542.992340632</v>
      </c>
      <c r="T61" s="74">
        <f t="shared" si="7"/>
        <v>106110628.59765947</v>
      </c>
      <c r="U61" s="75">
        <f t="shared" si="8"/>
        <v>1.6050727897174135</v>
      </c>
      <c r="V61" s="73" cm="1">
        <f t="array" ref="V61">_xll.DBR($A$5,B61,$D$1,$W$6,$W$5,"Karşılık Sonrası - YTD")</f>
        <v>70843300.639520049</v>
      </c>
      <c r="W61" s="75">
        <f t="shared" si="9"/>
        <v>1.4310015207553273</v>
      </c>
    </row>
    <row r="62" spans="2:23">
      <c r="B62" s="56" t="s">
        <v>129</v>
      </c>
      <c r="C62" s="73" cm="1">
        <f t="array" ref="C62">_xll.DBR($A$5,B62,$D$1,$D$6,$D$5,"Karşlılık Sonrası - Aylık")</f>
        <v>9902674.7999999989</v>
      </c>
      <c r="D62" s="64"/>
      <c r="E62" s="73" cm="1">
        <f t="array" ref="E62">_xll.DBR($A$6,B62,$D$1,"Departman Toplam",$G$6,$G$5,"Amount Cost")</f>
        <v>1117173.9312927269</v>
      </c>
      <c r="F62" s="74">
        <f t="shared" si="0"/>
        <v>8785500.8687072713</v>
      </c>
      <c r="G62" s="75">
        <f t="shared" si="1"/>
        <v>7.8640403455719872</v>
      </c>
      <c r="H62" s="73" cm="1">
        <f t="array" ref="H62">_xll.DBR($A$6,B62,$D$1,"Departman Toplam",$J$6,$J$5,"Amount Cost")</f>
        <v>2708202.7271350049</v>
      </c>
      <c r="I62" s="74">
        <f t="shared" si="2"/>
        <v>7194472.0728649944</v>
      </c>
      <c r="J62" s="75">
        <f t="shared" si="3"/>
        <v>2.6565485666119217</v>
      </c>
      <c r="K62" s="73" cm="1">
        <f t="array" ref="K62">_xll.DBR($A$5,B62,$D$1,$L$6,$L$5,"Karşlılık Sonrası - Aylık")</f>
        <v>852190.61</v>
      </c>
      <c r="L62" s="75">
        <f t="shared" si="4"/>
        <v>10.620258054709145</v>
      </c>
      <c r="M62" s="56"/>
      <c r="N62" s="73" cm="1">
        <f t="array" ref="N62">_xll.DBR($A$5,B62,$D$1,$O$6,$O$5,"Karşılık Sonrası - YTD")</f>
        <v>41290093.43</v>
      </c>
      <c r="O62" s="64"/>
      <c r="P62" s="73" cm="1">
        <f t="array" ref="P62">_xll.DBR($A$6,B62,$D$1,"Departman Toplam",$R$6,$R$5&amp;"-YTD","Amount Cost")</f>
        <v>8790296.3598571699</v>
      </c>
      <c r="Q62" s="74">
        <f t="shared" si="5"/>
        <v>32499797.070142828</v>
      </c>
      <c r="R62" s="75">
        <f t="shared" si="6"/>
        <v>3.6972356493644889</v>
      </c>
      <c r="S62" s="73" cm="1">
        <f t="array" ref="S62">_xll.DBR($A$6,B62,$D$1,"Departman Toplam",$U$6,$U$5&amp;"-YTD","Amount Cost")</f>
        <v>33568811.490030602</v>
      </c>
      <c r="T62" s="74">
        <f t="shared" si="7"/>
        <v>7721281.9399693981</v>
      </c>
      <c r="U62" s="75">
        <f t="shared" si="8"/>
        <v>0.23001356310343293</v>
      </c>
      <c r="V62" s="73" cm="1">
        <f t="array" ref="V62">_xll.DBR($A$5,B62,$D$1,$W$6,$W$5,"Karşılık Sonrası - YTD")</f>
        <v>9374096.6999999993</v>
      </c>
      <c r="W62" s="75">
        <f t="shared" si="9"/>
        <v>3.4047010342873891</v>
      </c>
    </row>
    <row r="63" spans="2:23" s="79" customFormat="1" ht="15">
      <c r="B63" s="68" t="s">
        <v>130</v>
      </c>
      <c r="C63" s="69" cm="1">
        <f t="array" ref="C63">_xll.DBR($A$5,B63,$D$1,$D$6,$D$5,"Karşlılık Sonrası - Aylık")</f>
        <v>10974105.350030001</v>
      </c>
      <c r="D63" s="70"/>
      <c r="E63" s="69" cm="1">
        <f t="array" ref="E63">_xll.DBR($A$6,B63,$D$1,"Departman Toplam",$G$6,$G$5,"Amount Cost")</f>
        <v>69762006.775367692</v>
      </c>
      <c r="F63" s="71">
        <f t="shared" si="0"/>
        <v>-58787901.425337687</v>
      </c>
      <c r="G63" s="72">
        <f t="shared" si="1"/>
        <v>-0.84269223525397696</v>
      </c>
      <c r="H63" s="69" cm="1">
        <f t="array" ref="H63">_xll.DBR($A$6,B63,$D$1,"Departman Toplam",$J$6,$J$5,"Amount Cost")</f>
        <v>61505364.95736666</v>
      </c>
      <c r="I63" s="71">
        <f t="shared" si="2"/>
        <v>-50531259.607336655</v>
      </c>
      <c r="J63" s="72">
        <f t="shared" si="3"/>
        <v>-0.82157482753517741</v>
      </c>
      <c r="K63" s="69" cm="1">
        <f t="array" ref="K63">_xll.DBR($A$5,B63,$D$1,$L$6,$L$5,"Karşlılık Sonrası - Aylık")</f>
        <v>45875527.307680182</v>
      </c>
      <c r="L63" s="72">
        <f t="shared" si="4"/>
        <v>-0.76078519432750402</v>
      </c>
      <c r="M63" s="68"/>
      <c r="N63" s="69" cm="1">
        <f t="array" ref="N63">_xll.DBR($A$5,B63,$D$1,$O$6,$O$5,"Karşılık Sonrası - YTD")</f>
        <v>597091334.16999984</v>
      </c>
      <c r="O63" s="70"/>
      <c r="P63" s="69" cm="1">
        <f t="array" ref="P63">_xll.DBR($A$6,B63,$D$1,"Departman Toplam",$R$6,$R$5&amp;"-YTD","Amount Cost")</f>
        <v>696351957.59561837</v>
      </c>
      <c r="Q63" s="71">
        <f t="shared" si="5"/>
        <v>-99260623.425618529</v>
      </c>
      <c r="R63" s="72">
        <f t="shared" si="6"/>
        <v>-0.14254375584488643</v>
      </c>
      <c r="S63" s="69" cm="1">
        <f t="array" ref="S63">_xll.DBR($A$6,B63,$D$1,"Departman Toplam",$U$6,$U$5&amp;"-YTD","Amount Cost")</f>
        <v>653269467.58490968</v>
      </c>
      <c r="T63" s="71">
        <f t="shared" si="7"/>
        <v>-56178133.41490984</v>
      </c>
      <c r="U63" s="72">
        <f t="shared" si="8"/>
        <v>-8.5995345263259221E-2</v>
      </c>
      <c r="V63" s="69" cm="1">
        <f t="array" ref="V63">_xll.DBR($A$5,B63,$D$1,$W$6,$W$5,"Karşılık Sonrası - YTD")</f>
        <v>407926199.01006037</v>
      </c>
      <c r="W63" s="72">
        <f t="shared" si="9"/>
        <v>0.46372391775521687</v>
      </c>
    </row>
    <row r="64" spans="2:23">
      <c r="B64" s="56" t="s">
        <v>131</v>
      </c>
      <c r="C64" s="73" cm="1">
        <f t="array" ref="C64">_xll.DBR($A$5,B64,$D$1,$D$6,$D$5,"Karşlılık Sonrası - Aylık")</f>
        <v>1467020.8000000003</v>
      </c>
      <c r="D64" s="64"/>
      <c r="E64" s="73" cm="1">
        <f t="array" ref="E64">_xll.DBR($A$6,B64,$D$1,"Departman Toplam",$G$6,$G$5,"Amount Cost")</f>
        <v>2750445.5021070126</v>
      </c>
      <c r="F64" s="74">
        <f t="shared" si="0"/>
        <v>-1283424.7021070123</v>
      </c>
      <c r="G64" s="75">
        <f t="shared" si="1"/>
        <v>-0.46662429818145063</v>
      </c>
      <c r="H64" s="73" cm="1">
        <f t="array" ref="H64">_xll.DBR($A$6,B64,$D$1,"Departman Toplam",$J$6,$J$5,"Amount Cost")</f>
        <v>2706720.9251862881</v>
      </c>
      <c r="I64" s="74">
        <f t="shared" si="2"/>
        <v>-1239700.1251862878</v>
      </c>
      <c r="J64" s="75">
        <f t="shared" si="3"/>
        <v>-0.4580081062849013</v>
      </c>
      <c r="K64" s="73" cm="1">
        <f t="array" ref="K64">_xll.DBR($A$5,B64,$D$1,$L$6,$L$5,"Karşlılık Sonrası - Aylık")</f>
        <v>1212049.07</v>
      </c>
      <c r="L64" s="75">
        <f t="shared" si="4"/>
        <v>0.21036419754853672</v>
      </c>
      <c r="M64" s="56"/>
      <c r="N64" s="73" cm="1">
        <f t="array" ref="N64">_xll.DBR($A$5,B64,$D$1,$O$6,$O$5,"Karşılık Sonrası - YTD")</f>
        <v>23308832.400000002</v>
      </c>
      <c r="O64" s="64"/>
      <c r="P64" s="73" cm="1">
        <f t="array" ref="P64">_xll.DBR($A$6,B64,$D$1,"Departman Toplam",$R$6,$R$5&amp;"-YTD","Amount Cost")</f>
        <v>29091910.264738169</v>
      </c>
      <c r="Q64" s="74">
        <f t="shared" si="5"/>
        <v>-5783077.8647381663</v>
      </c>
      <c r="R64" s="75">
        <f t="shared" si="6"/>
        <v>-0.19878646029469371</v>
      </c>
      <c r="S64" s="73" cm="1">
        <f t="array" ref="S64">_xll.DBR($A$6,B64,$D$1,"Departman Toplam",$U$6,$U$5&amp;"-YTD","Amount Cost")</f>
        <v>24549377.636225782</v>
      </c>
      <c r="T64" s="74">
        <f t="shared" si="7"/>
        <v>-1240545.2362257801</v>
      </c>
      <c r="U64" s="75">
        <f t="shared" si="8"/>
        <v>-5.0532655230949526E-2</v>
      </c>
      <c r="V64" s="73" cm="1">
        <f t="array" ref="V64">_xll.DBR($A$5,B64,$D$1,$W$6,$W$5,"Karşılık Sonrası - YTD")</f>
        <v>13611998.429999992</v>
      </c>
      <c r="W64" s="75">
        <f t="shared" si="9"/>
        <v>0.71237401472430351</v>
      </c>
    </row>
    <row r="65" spans="2:23">
      <c r="B65" s="56" t="s">
        <v>132</v>
      </c>
      <c r="C65" s="73" cm="1">
        <f t="array" ref="C65">_xll.DBR($A$5,B65,$D$1,$D$6,$D$5,"Karşlılık Sonrası - Aylık")</f>
        <v>0</v>
      </c>
      <c r="D65" s="64"/>
      <c r="E65" s="73" cm="1">
        <f t="array" ref="E65">_xll.DBR($A$6,B65,$D$1,"Departman Toplam",$G$6,$G$5,"Amount Cost")</f>
        <v>10928395.883298727</v>
      </c>
      <c r="F65" s="74">
        <f t="shared" si="0"/>
        <v>-10928395.883298727</v>
      </c>
      <c r="G65" s="75">
        <f t="shared" si="1"/>
        <v>-1</v>
      </c>
      <c r="H65" s="73" cm="1">
        <f t="array" ref="H65">_xll.DBR($A$6,B65,$D$1,"Departman Toplam",$J$6,$J$5,"Amount Cost")</f>
        <v>9337409.7556600012</v>
      </c>
      <c r="I65" s="74">
        <f t="shared" si="2"/>
        <v>-9337409.7556600012</v>
      </c>
      <c r="J65" s="75">
        <f t="shared" si="3"/>
        <v>-1</v>
      </c>
      <c r="K65" s="73" cm="1">
        <f t="array" ref="K65">_xll.DBR($A$5,B65,$D$1,$L$6,$L$5,"Karşlılık Sonrası - Aylık")</f>
        <v>6123143.2400000021</v>
      </c>
      <c r="L65" s="75">
        <f t="shared" si="4"/>
        <v>-1</v>
      </c>
      <c r="M65" s="56"/>
      <c r="N65" s="73" cm="1">
        <f t="array" ref="N65">_xll.DBR($A$5,B65,$D$1,$O$6,$O$5,"Karşılık Sonrası - YTD")</f>
        <v>88789755.670000017</v>
      </c>
      <c r="O65" s="64"/>
      <c r="P65" s="73" cm="1">
        <f t="array" ref="P65">_xll.DBR($A$6,B65,$D$1,"Departman Toplam",$R$6,$R$5&amp;"-YTD","Amount Cost")</f>
        <v>104744729.93062083</v>
      </c>
      <c r="Q65" s="74">
        <f t="shared" si="5"/>
        <v>-15954974.260620818</v>
      </c>
      <c r="R65" s="75">
        <f t="shared" si="6"/>
        <v>-0.15232245356104143</v>
      </c>
      <c r="S65" s="73" cm="1">
        <f t="array" ref="S65">_xll.DBR($A$6,B65,$D$1,"Departman Toplam",$U$6,$U$5&amp;"-YTD","Amount Cost")</f>
        <v>98127165.826759994</v>
      </c>
      <c r="T65" s="74">
        <f t="shared" si="7"/>
        <v>-9337410.1567599773</v>
      </c>
      <c r="U65" s="75">
        <f t="shared" si="8"/>
        <v>-9.515621976940454E-2</v>
      </c>
      <c r="V65" s="73" cm="1">
        <f t="array" ref="V65">_xll.DBR($A$5,B65,$D$1,$W$6,$W$5,"Karşılık Sonrası - YTD")</f>
        <v>54566814.080000013</v>
      </c>
      <c r="W65" s="75">
        <f t="shared" si="9"/>
        <v>0.62717499943877963</v>
      </c>
    </row>
    <row r="66" spans="2:23">
      <c r="B66" s="56" t="s">
        <v>133</v>
      </c>
      <c r="C66" s="73" cm="1">
        <f t="array" ref="C66">_xll.DBR($A$5,B66,$D$1,$D$6,$D$5,"Karşlılık Sonrası - Aylık")</f>
        <v>-6.9999816787458258E-5</v>
      </c>
      <c r="D66" s="64"/>
      <c r="E66" s="73" cm="1">
        <f t="array" ref="E66">_xll.DBR($A$6,B66,$D$1,"Departman Toplam",$G$6,$G$5,"Amount Cost")</f>
        <v>11089124.855542382</v>
      </c>
      <c r="F66" s="74">
        <f t="shared" si="0"/>
        <v>-11089124.855612382</v>
      </c>
      <c r="G66" s="75">
        <f t="shared" si="1"/>
        <v>-1.0000000000063125</v>
      </c>
      <c r="H66" s="73" cm="1">
        <f t="array" ref="H66">_xll.DBR($A$6,B66,$D$1,"Departman Toplam",$J$6,$J$5,"Amount Cost")</f>
        <v>9631253.6739200149</v>
      </c>
      <c r="I66" s="74">
        <f t="shared" si="2"/>
        <v>-9631253.6739900149</v>
      </c>
      <c r="J66" s="75">
        <f t="shared" si="3"/>
        <v>-1.000000000007268</v>
      </c>
      <c r="K66" s="73" cm="1">
        <f t="array" ref="K66">_xll.DBR($A$5,B66,$D$1,$L$6,$L$5,"Karşlılık Sonrası - Aylık")</f>
        <v>6013773.130140001</v>
      </c>
      <c r="L66" s="75">
        <f t="shared" si="4"/>
        <v>-1.00000000001164</v>
      </c>
      <c r="M66" s="56"/>
      <c r="N66" s="73" cm="1">
        <f t="array" ref="N66">_xll.DBR($A$5,B66,$D$1,$O$6,$O$5,"Karşılık Sonrası - YTD")</f>
        <v>99637918.759999961</v>
      </c>
      <c r="O66" s="64"/>
      <c r="P66" s="73" cm="1">
        <f t="array" ref="P66">_xll.DBR($A$6,B66,$D$1,"Departman Toplam",$R$6,$R$5&amp;"-YTD","Amount Cost")</f>
        <v>117762682.8928947</v>
      </c>
      <c r="Q66" s="74">
        <f t="shared" si="5"/>
        <v>-18124764.13289474</v>
      </c>
      <c r="R66" s="75">
        <f t="shared" si="6"/>
        <v>-0.1539092324295909</v>
      </c>
      <c r="S66" s="73" cm="1">
        <f t="array" ref="S66">_xll.DBR($A$6,B66,$D$1,"Departman Toplam",$U$6,$U$5&amp;"-YTD","Amount Cost")</f>
        <v>109221676.94510004</v>
      </c>
      <c r="T66" s="74">
        <f t="shared" si="7"/>
        <v>-9583758.1851000786</v>
      </c>
      <c r="U66" s="75">
        <f t="shared" si="8"/>
        <v>-8.7745935176561402E-2</v>
      </c>
      <c r="V66" s="73" cm="1">
        <f t="array" ref="V66">_xll.DBR($A$5,B66,$D$1,$W$6,$W$5,"Karşılık Sonrası - YTD")</f>
        <v>61119616.530079976</v>
      </c>
      <c r="W66" s="75">
        <f t="shared" si="9"/>
        <v>0.6302117784224518</v>
      </c>
    </row>
    <row r="67" spans="2:23">
      <c r="B67" s="56" t="s">
        <v>134</v>
      </c>
      <c r="C67" s="73" cm="1">
        <f t="array" ref="C67">_xll.DBR($A$5,B67,$D$1,$D$6,$D$5,"Karşlılık Sonrası - Aylık")</f>
        <v>0</v>
      </c>
      <c r="D67" s="64"/>
      <c r="E67" s="73" cm="1">
        <f t="array" ref="E67">_xll.DBR($A$6,B67,$D$1,"Departman Toplam",$G$6,$G$5,"Amount Cost")</f>
        <v>0</v>
      </c>
      <c r="F67" s="74">
        <f t="shared" si="0"/>
        <v>0</v>
      </c>
      <c r="G67" s="75">
        <f t="shared" si="1"/>
        <v>0</v>
      </c>
      <c r="H67" s="73" cm="1">
        <f t="array" ref="H67">_xll.DBR($A$6,B67,$D$1,"Departman Toplam",$J$6,$J$5,"Amount Cost")</f>
        <v>0</v>
      </c>
      <c r="I67" s="74">
        <f t="shared" si="2"/>
        <v>0</v>
      </c>
      <c r="J67" s="75">
        <f t="shared" si="3"/>
        <v>0</v>
      </c>
      <c r="K67" s="73" cm="1">
        <f t="array" ref="K67">_xll.DBR($A$5,B67,$D$1,$L$6,$L$5,"Karşlılık Sonrası - Aylık")</f>
        <v>7947.5800000000072</v>
      </c>
      <c r="L67" s="75">
        <f t="shared" si="4"/>
        <v>-1</v>
      </c>
      <c r="M67" s="56"/>
      <c r="N67" s="73" cm="1">
        <f t="array" ref="N67">_xll.DBR($A$5,B67,$D$1,$O$6,$O$5,"Karşılık Sonrası - YTD")</f>
        <v>20043.54</v>
      </c>
      <c r="O67" s="64"/>
      <c r="P67" s="73" cm="1">
        <f t="array" ref="P67">_xll.DBR($A$6,B67,$D$1,"Departman Toplam",$R$6,$R$5&amp;"-YTD","Amount Cost")</f>
        <v>0</v>
      </c>
      <c r="Q67" s="74">
        <f t="shared" si="5"/>
        <v>20043.54</v>
      </c>
      <c r="R67" s="75">
        <f t="shared" si="6"/>
        <v>0</v>
      </c>
      <c r="S67" s="73" cm="1">
        <f t="array" ref="S67">_xll.DBR($A$6,B67,$D$1,"Departman Toplam",$U$6,$U$5&amp;"-YTD","Amount Cost")</f>
        <v>20043.54</v>
      </c>
      <c r="T67" s="74">
        <f t="shared" si="7"/>
        <v>0</v>
      </c>
      <c r="U67" s="75">
        <f t="shared" si="8"/>
        <v>0</v>
      </c>
      <c r="V67" s="73" cm="1">
        <f t="array" ref="V67">_xll.DBR($A$5,B67,$D$1,$W$6,$W$5,"Karşılık Sonrası - YTD")</f>
        <v>7947.5800000000072</v>
      </c>
      <c r="W67" s="75">
        <f t="shared" si="9"/>
        <v>1.5219676933104143</v>
      </c>
    </row>
    <row r="68" spans="2:23">
      <c r="B68" s="56" t="s">
        <v>135</v>
      </c>
      <c r="C68" s="73" cm="1">
        <f t="array" ref="C68">_xll.DBR($A$5,B68,$D$1,$D$6,$D$5,"Karşlılık Sonrası - Aylık")</f>
        <v>6.9999983679736033E-5</v>
      </c>
      <c r="D68" s="64"/>
      <c r="E68" s="73" cm="1">
        <f t="array" ref="E68">_xll.DBR($A$6,B68,$D$1,"Departman Toplam",$G$6,$G$5,"Amount Cost")</f>
        <v>21338310.941199999</v>
      </c>
      <c r="F68" s="74">
        <f t="shared" si="0"/>
        <v>-21338310.941130001</v>
      </c>
      <c r="G68" s="75">
        <f t="shared" si="1"/>
        <v>-0.99999999999671962</v>
      </c>
      <c r="H68" s="73" cm="1">
        <f t="array" ref="H68">_xll.DBR($A$6,B68,$D$1,"Departman Toplam",$J$6,$J$5,"Amount Cost")</f>
        <v>18306520.70040001</v>
      </c>
      <c r="I68" s="74">
        <f t="shared" si="2"/>
        <v>-18306520.700330012</v>
      </c>
      <c r="J68" s="75">
        <f t="shared" si="3"/>
        <v>-0.99999999999617628</v>
      </c>
      <c r="K68" s="73" cm="1">
        <f t="array" ref="K68">_xll.DBR($A$5,B68,$D$1,$L$6,$L$5,"Karşlılık Sonrası - Aylık")</f>
        <v>15717475.174070163</v>
      </c>
      <c r="L68" s="75">
        <f t="shared" si="4"/>
        <v>-0.99999999999554634</v>
      </c>
      <c r="M68" s="56"/>
      <c r="N68" s="73" cm="1">
        <f t="array" ref="N68">_xll.DBR($A$5,B68,$D$1,$O$6,$O$5,"Karşılık Sonrası - YTD")</f>
        <v>173792480.27000004</v>
      </c>
      <c r="O68" s="64"/>
      <c r="P68" s="73" cm="1">
        <f t="array" ref="P68">_xll.DBR($A$6,B68,$D$1,"Departman Toplam",$R$6,$R$5&amp;"-YTD","Amount Cost")</f>
        <v>209903382.02059746</v>
      </c>
      <c r="Q68" s="74">
        <f t="shared" si="5"/>
        <v>-36110901.750597417</v>
      </c>
      <c r="R68" s="75">
        <f t="shared" si="6"/>
        <v>-0.17203582621195648</v>
      </c>
      <c r="S68" s="73" cm="1">
        <f t="array" ref="S68">_xll.DBR($A$6,B68,$D$1,"Departman Toplam",$U$6,$U$5&amp;"-YTD","Amount Cost")</f>
        <v>197094926.37315997</v>
      </c>
      <c r="T68" s="74">
        <f t="shared" si="7"/>
        <v>-23302446.103159934</v>
      </c>
      <c r="U68" s="75">
        <f t="shared" si="8"/>
        <v>-0.11822955837554841</v>
      </c>
      <c r="V68" s="73" cm="1">
        <f t="array" ref="V68">_xll.DBR($A$5,B68,$D$1,$W$6,$W$5,"Karşılık Sonrası - YTD")</f>
        <v>123596748.4799902</v>
      </c>
      <c r="W68" s="75">
        <f t="shared" si="9"/>
        <v>0.40612501871872725</v>
      </c>
    </row>
    <row r="69" spans="2:23">
      <c r="B69" s="56" t="s">
        <v>136</v>
      </c>
      <c r="C69" s="73" cm="1">
        <f t="array" ref="C69">_xll.DBR($A$5,B69,$D$1,$D$6,$D$5,"Karşlılık Sonrası - Aylık")</f>
        <v>3.000004238629117E-5</v>
      </c>
      <c r="D69" s="64"/>
      <c r="E69" s="73" cm="1">
        <f t="array" ref="E69">_xll.DBR($A$6,B69,$D$1,"Departman Toplam",$G$6,$G$5,"Amount Cost")</f>
        <v>3605214.5027053356</v>
      </c>
      <c r="F69" s="74">
        <f t="shared" si="0"/>
        <v>-3605214.5026753354</v>
      </c>
      <c r="G69" s="75">
        <f t="shared" si="1"/>
        <v>-0.99999999999167866</v>
      </c>
      <c r="H69" s="73" cm="1">
        <f t="array" ref="H69">_xll.DBR($A$6,B69,$D$1,"Departman Toplam",$J$6,$J$5,"Amount Cost")</f>
        <v>3435662.945869999</v>
      </c>
      <c r="I69" s="74">
        <f t="shared" si="2"/>
        <v>-3435662.9458399988</v>
      </c>
      <c r="J69" s="75">
        <f t="shared" si="3"/>
        <v>-0.99999999999126798</v>
      </c>
      <c r="K69" s="73" cm="1">
        <f t="array" ref="K69">_xll.DBR($A$5,B69,$D$1,$L$6,$L$5,"Karşlılık Sonrası - Aylık")</f>
        <v>2232234.8799599996</v>
      </c>
      <c r="L69" s="75">
        <f t="shared" si="4"/>
        <v>-0.99999999998656042</v>
      </c>
      <c r="M69" s="56"/>
      <c r="N69" s="73" cm="1">
        <f t="array" ref="N69">_xll.DBR($A$5,B69,$D$1,$O$6,$O$5,"Karşılık Sonrası - YTD")</f>
        <v>26972571.450000007</v>
      </c>
      <c r="O69" s="64"/>
      <c r="P69" s="73" cm="1">
        <f t="array" ref="P69">_xll.DBR($A$6,B69,$D$1,"Departman Toplam",$R$6,$R$5&amp;"-YTD","Amount Cost")</f>
        <v>34464318.287607007</v>
      </c>
      <c r="Q69" s="74">
        <f t="shared" si="5"/>
        <v>-7491746.837607</v>
      </c>
      <c r="R69" s="75">
        <f t="shared" si="6"/>
        <v>-0.21737690486397784</v>
      </c>
      <c r="S69" s="73" cm="1">
        <f t="array" ref="S69">_xll.DBR($A$6,B69,$D$1,"Departman Toplam",$U$6,$U$5&amp;"-YTD","Amount Cost")</f>
        <v>31068236.447620012</v>
      </c>
      <c r="T69" s="74">
        <f t="shared" si="7"/>
        <v>-4095664.9976200052</v>
      </c>
      <c r="U69" s="75">
        <f t="shared" si="8"/>
        <v>-0.13182804902766712</v>
      </c>
      <c r="V69" s="73" cm="1">
        <f t="array" ref="V69">_xll.DBR($A$5,B69,$D$1,$W$6,$W$5,"Karşılık Sonrası - YTD")</f>
        <v>20395270.429990016</v>
      </c>
      <c r="W69" s="75">
        <f t="shared" si="9"/>
        <v>0.32249148363036489</v>
      </c>
    </row>
    <row r="70" spans="2:23">
      <c r="B70" s="56" t="s">
        <v>137</v>
      </c>
      <c r="C70" s="73" cm="1">
        <f t="array" ref="C70">_xll.DBR($A$5,B70,$D$1,$D$6,$D$5,"Karşlılık Sonrası - Aylık")</f>
        <v>0</v>
      </c>
      <c r="D70" s="64"/>
      <c r="E70" s="73" cm="1">
        <f t="array" ref="E70">_xll.DBR($A$6,B70,$D$1,"Departman Toplam",$G$6,$G$5,"Amount Cost")</f>
        <v>62695.666667333346</v>
      </c>
      <c r="F70" s="74">
        <f t="shared" si="0"/>
        <v>-62695.666667333346</v>
      </c>
      <c r="G70" s="75">
        <f t="shared" si="1"/>
        <v>-1</v>
      </c>
      <c r="H70" s="73" cm="1">
        <f t="array" ref="H70">_xll.DBR($A$6,B70,$D$1,"Departman Toplam",$J$6,$J$5,"Amount Cost")</f>
        <v>62695.666667333324</v>
      </c>
      <c r="I70" s="74">
        <f t="shared" si="2"/>
        <v>-62695.666667333324</v>
      </c>
      <c r="J70" s="75">
        <f t="shared" si="3"/>
        <v>-1</v>
      </c>
      <c r="K70" s="73" cm="1">
        <f t="array" ref="K70">_xll.DBR($A$5,B70,$D$1,$L$6,$L$5,"Karşlılık Sonrası - Aylık")</f>
        <v>173204.03999999998</v>
      </c>
      <c r="L70" s="75">
        <f t="shared" si="4"/>
        <v>-1</v>
      </c>
      <c r="M70" s="56"/>
      <c r="N70" s="73" cm="1">
        <f t="array" ref="N70">_xll.DBR($A$5,B70,$D$1,$O$6,$O$5,"Karşılık Sonrası - YTD")</f>
        <v>777073.44000000018</v>
      </c>
      <c r="O70" s="64"/>
      <c r="P70" s="73" cm="1">
        <f t="array" ref="P70">_xll.DBR($A$6,B70,$D$1,"Departman Toplam",$R$6,$R$5&amp;"-YTD","Amount Cost")</f>
        <v>540812.33334066684</v>
      </c>
      <c r="Q70" s="74">
        <f t="shared" si="5"/>
        <v>236261.10665933334</v>
      </c>
      <c r="R70" s="75">
        <f t="shared" si="6"/>
        <v>0.43686338512274364</v>
      </c>
      <c r="S70" s="73" cm="1">
        <f t="array" ref="S70">_xll.DBR($A$6,B70,$D$1,"Departman Toplam",$U$6,$U$5&amp;"-YTD","Amount Cost")</f>
        <v>807754.18333466665</v>
      </c>
      <c r="T70" s="74">
        <f t="shared" si="7"/>
        <v>-30680.743334666477</v>
      </c>
      <c r="U70" s="75">
        <f t="shared" si="8"/>
        <v>-3.7982772441990449E-2</v>
      </c>
      <c r="V70" s="73" cm="1">
        <f t="array" ref="V70">_xll.DBR($A$5,B70,$D$1,$W$6,$W$5,"Karşılık Sonrası - YTD")</f>
        <v>785675.56000000017</v>
      </c>
      <c r="W70" s="75">
        <f t="shared" si="9"/>
        <v>-1.0948692358458998E-2</v>
      </c>
    </row>
    <row r="71" spans="2:23">
      <c r="B71" s="56" t="s">
        <v>138</v>
      </c>
      <c r="C71" s="73" cm="1">
        <f t="array" ref="C71">_xll.DBR($A$5,B71,$D$1,$D$6,$D$5,"Karşlılık Sonrası - Aylık")</f>
        <v>270661.21000000008</v>
      </c>
      <c r="D71" s="64"/>
      <c r="E71" s="73" cm="1">
        <f t="array" ref="E71">_xll.DBR($A$6,B71,$D$1,"Departman Toplam",$G$6,$G$5,"Amount Cost")</f>
        <v>0</v>
      </c>
      <c r="F71" s="74">
        <f t="shared" si="0"/>
        <v>270661.21000000008</v>
      </c>
      <c r="G71" s="75">
        <f t="shared" si="1"/>
        <v>0</v>
      </c>
      <c r="H71" s="73" cm="1">
        <f t="array" ref="H71">_xll.DBR($A$6,B71,$D$1,"Departman Toplam",$J$6,$J$5,"Amount Cost")</f>
        <v>0</v>
      </c>
      <c r="I71" s="74">
        <f t="shared" si="2"/>
        <v>270661.21000000008</v>
      </c>
      <c r="J71" s="75">
        <f t="shared" si="3"/>
        <v>0</v>
      </c>
      <c r="K71" s="73" cm="1">
        <f t="array" ref="K71">_xll.DBR($A$5,B71,$D$1,$L$6,$L$5,"Karşlılık Sonrası - Aylık")</f>
        <v>739</v>
      </c>
      <c r="L71" s="75">
        <f t="shared" si="4"/>
        <v>365.25332882273352</v>
      </c>
      <c r="M71" s="56"/>
      <c r="N71" s="73" cm="1">
        <f t="array" ref="N71">_xll.DBR($A$5,B71,$D$1,$O$6,$O$5,"Karşılık Sonrası - YTD")</f>
        <v>288930.09000000008</v>
      </c>
      <c r="O71" s="64"/>
      <c r="P71" s="73" cm="1">
        <f t="array" ref="P71">_xll.DBR($A$6,B71,$D$1,"Departman Toplam",$R$6,$R$5&amp;"-YTD","Amount Cost")</f>
        <v>0</v>
      </c>
      <c r="Q71" s="74">
        <f t="shared" si="5"/>
        <v>288930.09000000008</v>
      </c>
      <c r="R71" s="75">
        <f t="shared" si="6"/>
        <v>0</v>
      </c>
      <c r="S71" s="73" cm="1">
        <f t="array" ref="S71">_xll.DBR($A$6,B71,$D$1,"Departman Toplam",$U$6,$U$5&amp;"-YTD","Amount Cost")</f>
        <v>5163.3100000000004</v>
      </c>
      <c r="T71" s="74">
        <f t="shared" si="7"/>
        <v>283766.78000000009</v>
      </c>
      <c r="U71" s="75">
        <f t="shared" si="8"/>
        <v>54.958307752197733</v>
      </c>
      <c r="V71" s="73" cm="1">
        <f t="array" ref="V71">_xll.DBR($A$5,B71,$D$1,$W$6,$W$5,"Karşılık Sonrası - YTD")</f>
        <v>7651.57</v>
      </c>
      <c r="W71" s="75">
        <f t="shared" si="9"/>
        <v>36.760889595207267</v>
      </c>
    </row>
    <row r="72" spans="2:23">
      <c r="B72" s="56" t="s">
        <v>139</v>
      </c>
      <c r="C72" s="73" cm="1">
        <f t="array" ref="C72">_xll.DBR($A$5,B72,$D$1,$D$6,$D$5,"Karşlılık Sonrası - Aylık")</f>
        <v>0</v>
      </c>
      <c r="D72" s="64"/>
      <c r="E72" s="73" cm="1">
        <f t="array" ref="E72">_xll.DBR($A$6,B72,$D$1,"Departman Toplam",$G$6,$G$5,"Amount Cost")</f>
        <v>1000</v>
      </c>
      <c r="F72" s="74">
        <f t="shared" si="0"/>
        <v>-1000</v>
      </c>
      <c r="G72" s="75">
        <f t="shared" si="1"/>
        <v>-1</v>
      </c>
      <c r="H72" s="73" cm="1">
        <f t="array" ref="H72">_xll.DBR($A$6,B72,$D$1,"Departman Toplam",$J$6,$J$5,"Amount Cost")</f>
        <v>1000</v>
      </c>
      <c r="I72" s="74">
        <f t="shared" si="2"/>
        <v>-1000</v>
      </c>
      <c r="J72" s="75">
        <f t="shared" si="3"/>
        <v>-1</v>
      </c>
      <c r="K72" s="73" cm="1">
        <f t="array" ref="K72">_xll.DBR($A$5,B72,$D$1,$L$6,$L$5,"Karşlılık Sonrası - Aylık")</f>
        <v>0</v>
      </c>
      <c r="L72" s="75">
        <f t="shared" si="4"/>
        <v>0</v>
      </c>
      <c r="M72" s="56"/>
      <c r="N72" s="73" cm="1">
        <f t="array" ref="N72">_xll.DBR($A$5,B72,$D$1,$O$6,$O$5,"Karşılık Sonrası - YTD")</f>
        <v>3826.09</v>
      </c>
      <c r="O72" s="64"/>
      <c r="P72" s="73" cm="1">
        <f t="array" ref="P72">_xll.DBR($A$6,B72,$D$1,"Departman Toplam",$R$6,$R$5&amp;"-YTD","Amount Cost")</f>
        <v>11000</v>
      </c>
      <c r="Q72" s="74">
        <f t="shared" si="5"/>
        <v>-7173.91</v>
      </c>
      <c r="R72" s="75">
        <f t="shared" si="6"/>
        <v>-0.65217363636363634</v>
      </c>
      <c r="S72" s="73" cm="1">
        <f t="array" ref="S72">_xll.DBR($A$6,B72,$D$1,"Departman Toplam",$U$6,$U$5&amp;"-YTD","Amount Cost")</f>
        <v>5826.09</v>
      </c>
      <c r="T72" s="74">
        <f t="shared" si="7"/>
        <v>-2000</v>
      </c>
      <c r="U72" s="75">
        <f t="shared" si="8"/>
        <v>-0.34328340276240155</v>
      </c>
      <c r="V72" s="73" cm="1">
        <f t="array" ref="V72">_xll.DBR($A$5,B72,$D$1,$W$6,$W$5,"Karşılık Sonrası - YTD")</f>
        <v>2008.81</v>
      </c>
      <c r="W72" s="75">
        <f t="shared" si="9"/>
        <v>0.9046549947481346</v>
      </c>
    </row>
    <row r="73" spans="2:23">
      <c r="B73" s="56" t="s">
        <v>140</v>
      </c>
      <c r="C73" s="73" cm="1">
        <f t="array" ref="C73">_xll.DBR($A$5,B73,$D$1,$D$6,$D$5,"Karşlılık Sonrası - Aylık")</f>
        <v>0</v>
      </c>
      <c r="D73" s="64"/>
      <c r="E73" s="73" cm="1">
        <f t="array" ref="E73">_xll.DBR($A$6,B73,$D$1,"Departman Toplam",$G$6,$G$5,"Amount Cost")</f>
        <v>0</v>
      </c>
      <c r="F73" s="74">
        <f t="shared" si="0"/>
        <v>0</v>
      </c>
      <c r="G73" s="75">
        <f t="shared" si="1"/>
        <v>0</v>
      </c>
      <c r="H73" s="73" cm="1">
        <f t="array" ref="H73">_xll.DBR($A$6,B73,$D$1,"Departman Toplam",$J$6,$J$5,"Amount Cost")</f>
        <v>0</v>
      </c>
      <c r="I73" s="74">
        <f t="shared" si="2"/>
        <v>0</v>
      </c>
      <c r="J73" s="75">
        <f t="shared" si="3"/>
        <v>0</v>
      </c>
      <c r="K73" s="73" cm="1">
        <f t="array" ref="K73">_xll.DBR($A$5,B73,$D$1,$L$6,$L$5,"Karşlılık Sonrası - Aylık")</f>
        <v>0</v>
      </c>
      <c r="L73" s="75">
        <f t="shared" si="4"/>
        <v>0</v>
      </c>
      <c r="M73" s="56"/>
      <c r="N73" s="73" cm="1">
        <f t="array" ref="N73">_xll.DBR($A$5,B73,$D$1,$O$6,$O$5,"Karşılık Sonrası - YTD")</f>
        <v>0</v>
      </c>
      <c r="O73" s="64"/>
      <c r="P73" s="73" cm="1">
        <f t="array" ref="P73">_xll.DBR($A$6,B73,$D$1,"Departman Toplam",$R$6,$R$5&amp;"-YTD","Amount Cost")</f>
        <v>0</v>
      </c>
      <c r="Q73" s="74">
        <f t="shared" si="5"/>
        <v>0</v>
      </c>
      <c r="R73" s="75">
        <f t="shared" si="6"/>
        <v>0</v>
      </c>
      <c r="S73" s="73" cm="1">
        <f t="array" ref="S73">_xll.DBR($A$6,B73,$D$1,"Departman Toplam",$U$6,$U$5&amp;"-YTD","Amount Cost")</f>
        <v>0</v>
      </c>
      <c r="T73" s="74">
        <f t="shared" si="7"/>
        <v>0</v>
      </c>
      <c r="U73" s="75">
        <f t="shared" si="8"/>
        <v>0</v>
      </c>
      <c r="V73" s="73" cm="1">
        <f t="array" ref="V73">_xll.DBR($A$5,B73,$D$1,$W$6,$W$5,"Karşılık Sonrası - YTD")</f>
        <v>0</v>
      </c>
      <c r="W73" s="75">
        <f t="shared" si="9"/>
        <v>0</v>
      </c>
    </row>
    <row r="74" spans="2:23">
      <c r="B74" s="56" t="s">
        <v>141</v>
      </c>
      <c r="C74" s="73" cm="1">
        <f t="array" ref="C74">_xll.DBR($A$5,B74,$D$1,$D$6,$D$5,"Karşlılık Sonrası - Aylık")</f>
        <v>0</v>
      </c>
      <c r="D74" s="64"/>
      <c r="E74" s="73" cm="1">
        <f t="array" ref="E74">_xll.DBR($A$6,B74,$D$1,"Departman Toplam",$G$6,$G$5,"Amount Cost")</f>
        <v>48734.52</v>
      </c>
      <c r="F74" s="74">
        <f t="shared" si="0"/>
        <v>-48734.52</v>
      </c>
      <c r="G74" s="75">
        <f t="shared" si="1"/>
        <v>-1</v>
      </c>
      <c r="H74" s="73" cm="1">
        <f t="array" ref="H74">_xll.DBR($A$6,B74,$D$1,"Departman Toplam",$J$6,$J$5,"Amount Cost")</f>
        <v>49067.85</v>
      </c>
      <c r="I74" s="74">
        <f t="shared" si="2"/>
        <v>-49067.85</v>
      </c>
      <c r="J74" s="75">
        <f t="shared" si="3"/>
        <v>-1</v>
      </c>
      <c r="K74" s="73" cm="1">
        <f t="array" ref="K74">_xll.DBR($A$5,B74,$D$1,$L$6,$L$5,"Karşlılık Sonrası - Aylık")</f>
        <v>363332.44000000006</v>
      </c>
      <c r="L74" s="75">
        <f t="shared" si="4"/>
        <v>-1</v>
      </c>
      <c r="M74" s="56"/>
      <c r="N74" s="73" cm="1">
        <f t="array" ref="N74">_xll.DBR($A$5,B74,$D$1,$O$6,$O$5,"Karşılık Sonrası - YTD")</f>
        <v>2138660.399999999</v>
      </c>
      <c r="O74" s="64"/>
      <c r="P74" s="73" cm="1">
        <f t="array" ref="P74">_xll.DBR($A$6,B74,$D$1,"Departman Toplam",$R$6,$R$5&amp;"-YTD","Amount Cost")</f>
        <v>1409084.4000000001</v>
      </c>
      <c r="Q74" s="74">
        <f t="shared" si="5"/>
        <v>729575.99999999884</v>
      </c>
      <c r="R74" s="75">
        <f t="shared" si="6"/>
        <v>0.51776600464812383</v>
      </c>
      <c r="S74" s="73" cm="1">
        <f t="array" ref="S74">_xll.DBR($A$6,B74,$D$1,"Departman Toplam",$U$6,$U$5&amp;"-YTD","Amount Cost")</f>
        <v>1919873.4600000002</v>
      </c>
      <c r="T74" s="74">
        <f t="shared" si="7"/>
        <v>218786.93999999878</v>
      </c>
      <c r="U74" s="75">
        <f t="shared" si="8"/>
        <v>0.11395904186310214</v>
      </c>
      <c r="V74" s="73" cm="1">
        <f t="array" ref="V74">_xll.DBR($A$5,B74,$D$1,$W$6,$W$5,"Karşılık Sonrası - YTD")</f>
        <v>1242819.68</v>
      </c>
      <c r="W74" s="75">
        <f t="shared" si="9"/>
        <v>0.72081311103795775</v>
      </c>
    </row>
    <row r="75" spans="2:23">
      <c r="B75" s="56" t="s">
        <v>142</v>
      </c>
      <c r="C75" s="73" cm="1">
        <f t="array" ref="C75">_xll.DBR($A$5,B75,$D$1,$D$6,$D$5,"Karşlılık Sonrası - Aylık")</f>
        <v>0</v>
      </c>
      <c r="D75" s="64"/>
      <c r="E75" s="73" cm="1">
        <f t="array" ref="E75">_xll.DBR($A$6,B75,$D$1,"Departman Toplam",$G$6,$G$5,"Amount Cost")</f>
        <v>296730.86</v>
      </c>
      <c r="F75" s="74">
        <f t="shared" ref="F75:F110" si="10">IFERROR(C75-E75,0)</f>
        <v>-296730.86</v>
      </c>
      <c r="G75" s="75">
        <f t="shared" ref="G75:G110" si="11">IFERROR((C75-E75)/ABS(E75),0)</f>
        <v>-1</v>
      </c>
      <c r="H75" s="73" cm="1">
        <f t="array" ref="H75">_xll.DBR($A$6,B75,$D$1,"Departman Toplam",$J$6,$J$5,"Amount Cost")</f>
        <v>296730.86</v>
      </c>
      <c r="I75" s="74">
        <f t="shared" ref="I75:I110" si="12">IFERROR(C75-H75,0)</f>
        <v>-296730.86</v>
      </c>
      <c r="J75" s="75">
        <f t="shared" ref="J75:J110" si="13">IFERROR((C75-H75)/ABS(H75),0)</f>
        <v>-1</v>
      </c>
      <c r="K75" s="73" cm="1">
        <f t="array" ref="K75">_xll.DBR($A$5,B75,$D$1,$L$6,$L$5,"Karşlılık Sonrası - Aylık")</f>
        <v>170007.01</v>
      </c>
      <c r="L75" s="75">
        <f t="shared" ref="L75:L110" si="14">IFERROR((C75-K75)/ABS(K75),0)</f>
        <v>-1</v>
      </c>
      <c r="M75" s="56"/>
      <c r="N75" s="73" cm="1">
        <f t="array" ref="N75">_xll.DBR($A$5,B75,$D$1,$O$6,$O$5,"Karşılık Sonrası - YTD")</f>
        <v>3665003.8200000003</v>
      </c>
      <c r="O75" s="64"/>
      <c r="P75" s="73" cm="1">
        <f t="array" ref="P75">_xll.DBR($A$6,B75,$D$1,"Departman Toplam",$R$6,$R$5&amp;"-YTD","Amount Cost")</f>
        <v>3264039.459999999</v>
      </c>
      <c r="Q75" s="74">
        <f t="shared" ref="Q75:Q110" si="15">IFERROR(N75-P75,0)</f>
        <v>400964.36000000127</v>
      </c>
      <c r="R75" s="75">
        <f t="shared" ref="R75:R110" si="16">IFERROR((N75-P75)/ABS(P75),0)</f>
        <v>0.12284298793373086</v>
      </c>
      <c r="S75" s="73" cm="1">
        <f t="array" ref="S75">_xll.DBR($A$6,B75,$D$1,"Departman Toplam",$U$6,$U$5&amp;"-YTD","Amount Cost")</f>
        <v>3756034.6800000006</v>
      </c>
      <c r="T75" s="74">
        <f t="shared" ref="T75:T110" si="17">IFERROR(N75-S75,0)</f>
        <v>-91030.860000000335</v>
      </c>
      <c r="U75" s="75">
        <f t="shared" ref="U75:U110" si="18">IFERROR((N75-S75)/ABS(S75),0)</f>
        <v>-2.4235894435351783E-2</v>
      </c>
      <c r="V75" s="73" cm="1">
        <f t="array" ref="V75">_xll.DBR($A$5,B75,$D$1,$W$6,$W$5,"Karşılık Sonrası - YTD")</f>
        <v>5148569.1199999992</v>
      </c>
      <c r="W75" s="75">
        <f t="shared" ref="W75:W110" si="19">IFERROR((N75-V75)/ABS(V75),0)</f>
        <v>-0.28815099213429596</v>
      </c>
    </row>
    <row r="76" spans="2:23">
      <c r="B76" s="56" t="s">
        <v>143</v>
      </c>
      <c r="C76" s="73" cm="1">
        <f t="array" ref="C76">_xll.DBR($A$5,B76,$D$1,$D$6,$D$5,"Karşlılık Sonrası - Aylık")</f>
        <v>0</v>
      </c>
      <c r="D76" s="64"/>
      <c r="E76" s="73" cm="1">
        <f t="array" ref="E76">_xll.DBR($A$6,B76,$D$1,"Departman Toplam",$G$6,$G$5,"Amount Cost")</f>
        <v>0</v>
      </c>
      <c r="F76" s="74">
        <f t="shared" si="10"/>
        <v>0</v>
      </c>
      <c r="G76" s="75">
        <f t="shared" si="11"/>
        <v>0</v>
      </c>
      <c r="H76" s="73" cm="1">
        <f t="array" ref="H76">_xll.DBR($A$6,B76,$D$1,"Departman Toplam",$J$6,$J$5,"Amount Cost")</f>
        <v>0</v>
      </c>
      <c r="I76" s="74">
        <f t="shared" si="12"/>
        <v>0</v>
      </c>
      <c r="J76" s="75">
        <f t="shared" si="13"/>
        <v>0</v>
      </c>
      <c r="K76" s="73" cm="1">
        <f t="array" ref="K76">_xll.DBR($A$5,B76,$D$1,$L$6,$L$5,"Karşlılık Sonrası - Aylık")</f>
        <v>130705.20000000001</v>
      </c>
      <c r="L76" s="75">
        <f t="shared" si="14"/>
        <v>-1</v>
      </c>
      <c r="M76" s="56"/>
      <c r="N76" s="73" cm="1">
        <f t="array" ref="N76">_xll.DBR($A$5,B76,$D$1,$O$6,$O$5,"Karşılık Sonrası - YTD")</f>
        <v>985525.52</v>
      </c>
      <c r="O76" s="64"/>
      <c r="P76" s="73" cm="1">
        <f t="array" ref="P76">_xll.DBR($A$6,B76,$D$1,"Departman Toplam",$R$6,$R$5&amp;"-YTD","Amount Cost")</f>
        <v>838200</v>
      </c>
      <c r="Q76" s="74">
        <f t="shared" si="15"/>
        <v>147325.52000000002</v>
      </c>
      <c r="R76" s="75">
        <f t="shared" si="16"/>
        <v>0.17576416129801958</v>
      </c>
      <c r="S76" s="73" cm="1">
        <f t="array" ref="S76">_xll.DBR($A$6,B76,$D$1,"Departman Toplam",$U$6,$U$5&amp;"-YTD","Amount Cost")</f>
        <v>709455.48</v>
      </c>
      <c r="T76" s="74">
        <f t="shared" si="17"/>
        <v>276070.04000000004</v>
      </c>
      <c r="U76" s="75">
        <f t="shared" si="18"/>
        <v>0.38912947715901786</v>
      </c>
      <c r="V76" s="73" cm="1">
        <f t="array" ref="V76">_xll.DBR($A$5,B76,$D$1,$W$6,$W$5,"Karşılık Sonrası - YTD")</f>
        <v>672493.5399999998</v>
      </c>
      <c r="W76" s="75">
        <f t="shared" si="19"/>
        <v>0.46547953456920987</v>
      </c>
    </row>
    <row r="77" spans="2:23">
      <c r="B77" s="56" t="s">
        <v>144</v>
      </c>
      <c r="C77" s="73" cm="1">
        <f t="array" ref="C77">_xll.DBR($A$5,B77,$D$1,$D$6,$D$5,"Karşlılık Sonrası - Aylık")</f>
        <v>9236423.3399999999</v>
      </c>
      <c r="D77" s="64"/>
      <c r="E77" s="73" cm="1">
        <f t="array" ref="E77">_xll.DBR($A$6,B77,$D$1,"Departman Toplam",$G$6,$G$5,"Amount Cost")</f>
        <v>318000</v>
      </c>
      <c r="F77" s="74">
        <f t="shared" si="10"/>
        <v>8918423.3399999999</v>
      </c>
      <c r="G77" s="75">
        <f t="shared" si="11"/>
        <v>28.045356415094339</v>
      </c>
      <c r="H77" s="73" cm="1">
        <f t="array" ref="H77">_xll.DBR($A$6,B77,$D$1,"Departman Toplam",$J$6,$J$5,"Amount Cost")</f>
        <v>318000</v>
      </c>
      <c r="I77" s="74">
        <f t="shared" si="12"/>
        <v>8918423.3399999999</v>
      </c>
      <c r="J77" s="75">
        <f t="shared" si="13"/>
        <v>28.045356415094339</v>
      </c>
      <c r="K77" s="73" cm="1">
        <f t="array" ref="K77">_xll.DBR($A$5,B77,$D$1,$L$6,$L$5,"Karşlılık Sonrası - Aylık")</f>
        <v>373126.57</v>
      </c>
      <c r="L77" s="75">
        <f t="shared" si="14"/>
        <v>23.754129248956993</v>
      </c>
      <c r="M77" s="56"/>
      <c r="N77" s="73" cm="1">
        <f t="array" ref="N77">_xll.DBR($A$5,B77,$D$1,$O$6,$O$5,"Karşılık Sonrası - YTD")</f>
        <v>17162477.670000002</v>
      </c>
      <c r="O77" s="64"/>
      <c r="P77" s="73" cm="1">
        <f t="array" ref="P77">_xll.DBR($A$6,B77,$D$1,"Departman Toplam",$R$6,$R$5&amp;"-YTD","Amount Cost")</f>
        <v>3948000</v>
      </c>
      <c r="Q77" s="74">
        <f t="shared" si="15"/>
        <v>13214477.670000002</v>
      </c>
      <c r="R77" s="75">
        <f t="shared" si="16"/>
        <v>3.347132135258359</v>
      </c>
      <c r="S77" s="73" cm="1">
        <f t="array" ref="S77">_xll.DBR($A$6,B77,$D$1,"Departman Toplam",$U$6,$U$5&amp;"-YTD","Amount Cost")</f>
        <v>8207764.5799999982</v>
      </c>
      <c r="T77" s="74">
        <f t="shared" si="17"/>
        <v>8954713.0900000036</v>
      </c>
      <c r="U77" s="75">
        <f t="shared" si="18"/>
        <v>1.0910051089696344</v>
      </c>
      <c r="V77" s="73" cm="1">
        <f t="array" ref="V77">_xll.DBR($A$5,B77,$D$1,$W$6,$W$5,"Karşılık Sonrası - YTD")</f>
        <v>3366183.46</v>
      </c>
      <c r="W77" s="75">
        <f t="shared" si="19"/>
        <v>4.0984974152300069</v>
      </c>
    </row>
    <row r="78" spans="2:23">
      <c r="B78" s="56" t="s">
        <v>145</v>
      </c>
      <c r="C78" s="73" cm="1">
        <f t="array" ref="C78">_xll.DBR($A$5,B78,$D$1,$D$6,$D$5,"Karşlılık Sonrası - Aylık")</f>
        <v>0</v>
      </c>
      <c r="D78" s="64"/>
      <c r="E78" s="73" cm="1">
        <f t="array" ref="E78">_xll.DBR($A$6,B78,$D$1,"Departman Toplam",$G$6,$G$5,"Amount Cost")</f>
        <v>700506.69860161282</v>
      </c>
      <c r="F78" s="74">
        <f t="shared" si="10"/>
        <v>-700506.69860161282</v>
      </c>
      <c r="G78" s="75">
        <f t="shared" si="11"/>
        <v>-1</v>
      </c>
      <c r="H78" s="73" cm="1">
        <f t="array" ref="H78">_xll.DBR($A$6,B78,$D$1,"Departman Toplam",$J$6,$J$5,"Amount Cost")</f>
        <v>160227.04565500005</v>
      </c>
      <c r="I78" s="74">
        <f t="shared" si="12"/>
        <v>-160227.04565500005</v>
      </c>
      <c r="J78" s="75">
        <f t="shared" si="13"/>
        <v>-1</v>
      </c>
      <c r="K78" s="73" cm="1">
        <f t="array" ref="K78">_xll.DBR($A$5,B78,$D$1,$L$6,$L$5,"Karşlılık Sonrası - Aylık")</f>
        <v>597916.8899999999</v>
      </c>
      <c r="L78" s="75">
        <f t="shared" si="14"/>
        <v>-1</v>
      </c>
      <c r="M78" s="56"/>
      <c r="N78" s="73" cm="1">
        <f t="array" ref="N78">_xll.DBR($A$5,B78,$D$1,$O$6,$O$5,"Karşılık Sonrası - YTD")</f>
        <v>9395474.7799999975</v>
      </c>
      <c r="O78" s="64"/>
      <c r="P78" s="73" cm="1">
        <f t="array" ref="P78">_xll.DBR($A$6,B78,$D$1,"Departman Toplam",$R$6,$R$5&amp;"-YTD","Amount Cost")</f>
        <v>10632302.607530667</v>
      </c>
      <c r="Q78" s="74">
        <f t="shared" si="15"/>
        <v>-1236827.827530669</v>
      </c>
      <c r="R78" s="75">
        <f t="shared" si="16"/>
        <v>-0.11632737264782574</v>
      </c>
      <c r="S78" s="73" cm="1">
        <f t="array" ref="S78">_xll.DBR($A$6,B78,$D$1,"Departman Toplam",$U$6,$U$5&amp;"-YTD","Amount Cost")</f>
        <v>9129701.7046689969</v>
      </c>
      <c r="T78" s="74">
        <f t="shared" si="17"/>
        <v>265773.07533100061</v>
      </c>
      <c r="U78" s="75">
        <f t="shared" si="18"/>
        <v>2.9110816971717957E-2</v>
      </c>
      <c r="V78" s="73" cm="1">
        <f t="array" ref="V78">_xll.DBR($A$5,B78,$D$1,$W$6,$W$5,"Karşılık Sonrası - YTD")</f>
        <v>6830738.8399999989</v>
      </c>
      <c r="W78" s="75">
        <f t="shared" si="19"/>
        <v>0.37546976982653885</v>
      </c>
    </row>
    <row r="79" spans="2:23">
      <c r="B79" s="56" t="s">
        <v>146</v>
      </c>
      <c r="C79" s="73" cm="1">
        <f t="array" ref="C79">_xll.DBR($A$5,B79,$D$1,$D$6,$D$5,"Karşlılık Sonrası - Aylık")</f>
        <v>0</v>
      </c>
      <c r="D79" s="64"/>
      <c r="E79" s="73" cm="1">
        <f t="array" ref="E79">_xll.DBR($A$6,B79,$D$1,"Departman Toplam",$G$6,$G$5,"Amount Cost")</f>
        <v>20803.47</v>
      </c>
      <c r="F79" s="74">
        <f t="shared" si="10"/>
        <v>-20803.47</v>
      </c>
      <c r="G79" s="75">
        <f t="shared" si="11"/>
        <v>-1</v>
      </c>
      <c r="H79" s="73" cm="1">
        <f t="array" ref="H79">_xll.DBR($A$6,B79,$D$1,"Departman Toplam",$J$6,$J$5,"Amount Cost")</f>
        <v>20803.47</v>
      </c>
      <c r="I79" s="74">
        <f t="shared" si="12"/>
        <v>-20803.47</v>
      </c>
      <c r="J79" s="75">
        <f t="shared" si="13"/>
        <v>-1</v>
      </c>
      <c r="K79" s="73" cm="1">
        <f t="array" ref="K79">_xll.DBR($A$5,B79,$D$1,$L$6,$L$5,"Karşlılık Sonrası - Aylık")</f>
        <v>16668.929999999993</v>
      </c>
      <c r="L79" s="75">
        <f t="shared" si="14"/>
        <v>-1</v>
      </c>
      <c r="M79" s="56"/>
      <c r="N79" s="73" cm="1">
        <f t="array" ref="N79">_xll.DBR($A$5,B79,$D$1,$O$6,$O$5,"Karşılık Sonrası - YTD")</f>
        <v>1824733.0299999998</v>
      </c>
      <c r="O79" s="64"/>
      <c r="P79" s="73" cm="1">
        <f t="array" ref="P79">_xll.DBR($A$6,B79,$D$1,"Departman Toplam",$R$6,$R$5&amp;"-YTD","Amount Cost")</f>
        <v>1545536.4999999998</v>
      </c>
      <c r="Q79" s="74">
        <f t="shared" si="15"/>
        <v>279196.53000000003</v>
      </c>
      <c r="R79" s="75">
        <f t="shared" si="16"/>
        <v>0.18064699863121969</v>
      </c>
      <c r="S79" s="73" cm="1">
        <f t="array" ref="S79">_xll.DBR($A$6,B79,$D$1,"Departman Toplam",$U$6,$U$5&amp;"-YTD","Amount Cost")</f>
        <v>1695536.4999999998</v>
      </c>
      <c r="T79" s="74">
        <f t="shared" si="17"/>
        <v>129196.53000000003</v>
      </c>
      <c r="U79" s="75">
        <f t="shared" si="18"/>
        <v>7.6198023457472036E-2</v>
      </c>
      <c r="V79" s="73" cm="1">
        <f t="array" ref="V79">_xll.DBR($A$5,B79,$D$1,$W$6,$W$5,"Karşılık Sonrası - YTD")</f>
        <v>995628.98</v>
      </c>
      <c r="W79" s="75">
        <f t="shared" si="19"/>
        <v>0.83274399063795812</v>
      </c>
    </row>
    <row r="80" spans="2:23">
      <c r="B80" s="56" t="s">
        <v>147</v>
      </c>
      <c r="C80" s="73" cm="1">
        <f t="array" ref="C80">_xll.DBR($A$5,B80,$D$1,$D$6,$D$5,"Karşlılık Sonrası - Aylık")</f>
        <v>0</v>
      </c>
      <c r="D80" s="64"/>
      <c r="E80" s="73" cm="1">
        <f t="array" ref="E80">_xll.DBR($A$6,B80,$D$1,"Departman Toplam",$G$6,$G$5,"Amount Cost")</f>
        <v>1137688.7328600001</v>
      </c>
      <c r="F80" s="74">
        <f t="shared" si="10"/>
        <v>-1137688.7328600001</v>
      </c>
      <c r="G80" s="75">
        <f t="shared" si="11"/>
        <v>-1</v>
      </c>
      <c r="H80" s="73" cm="1">
        <f t="array" ref="H80">_xll.DBR($A$6,B80,$D$1,"Departman Toplam",$J$6,$J$5,"Amount Cost")</f>
        <v>1304867.5828879997</v>
      </c>
      <c r="I80" s="74">
        <f t="shared" si="12"/>
        <v>-1304867.5828879997</v>
      </c>
      <c r="J80" s="75">
        <f t="shared" si="13"/>
        <v>-1</v>
      </c>
      <c r="K80" s="73" cm="1">
        <f t="array" ref="K80">_xll.DBR($A$5,B80,$D$1,$L$6,$L$5,"Karşlılık Sonrası - Aylık")</f>
        <v>1271530.5400000014</v>
      </c>
      <c r="L80" s="75">
        <f t="shared" si="14"/>
        <v>-1</v>
      </c>
      <c r="M80" s="56"/>
      <c r="N80" s="73" cm="1">
        <f t="array" ref="N80">_xll.DBR($A$5,B80,$D$1,$O$6,$O$5,"Karşılık Sonrası - YTD")</f>
        <v>10259013.9</v>
      </c>
      <c r="O80" s="64"/>
      <c r="P80" s="73" cm="1">
        <f t="array" ref="P80">_xll.DBR($A$6,B80,$D$1,"Departman Toplam",$R$6,$R$5&amp;"-YTD","Amount Cost")</f>
        <v>9771128.7309800014</v>
      </c>
      <c r="Q80" s="74">
        <f t="shared" si="15"/>
        <v>487885.16901999898</v>
      </c>
      <c r="R80" s="75">
        <f t="shared" si="16"/>
        <v>4.9931300922597323E-2</v>
      </c>
      <c r="S80" s="73" cm="1">
        <f t="array" ref="S80">_xll.DBR($A$6,B80,$D$1,"Departman Toplam",$U$6,$U$5&amp;"-YTD","Amount Cost")</f>
        <v>11797014.604412004</v>
      </c>
      <c r="T80" s="74">
        <f t="shared" si="17"/>
        <v>-1538000.704412004</v>
      </c>
      <c r="U80" s="75">
        <f t="shared" si="18"/>
        <v>-0.13037202682081975</v>
      </c>
      <c r="V80" s="73" cm="1">
        <f t="array" ref="V80">_xll.DBR($A$5,B80,$D$1,$W$6,$W$5,"Karşılık Sonrası - YTD")</f>
        <v>10243418.549999999</v>
      </c>
      <c r="W80" s="75">
        <f t="shared" si="19"/>
        <v>1.5224751311173838E-3</v>
      </c>
    </row>
    <row r="81" spans="2:23">
      <c r="B81" s="56" t="s">
        <v>148</v>
      </c>
      <c r="C81" s="73" cm="1">
        <f t="array" ref="C81">_xll.DBR($A$5,B81,$D$1,$D$6,$D$5,"Karşlılık Sonrası - Aylık")</f>
        <v>0</v>
      </c>
      <c r="D81" s="64"/>
      <c r="E81" s="73" cm="1">
        <f t="array" ref="E81">_xll.DBR($A$6,B81,$D$1,"Departman Toplam",$G$6,$G$5,"Amount Cost")</f>
        <v>0</v>
      </c>
      <c r="F81" s="74">
        <f t="shared" si="10"/>
        <v>0</v>
      </c>
      <c r="G81" s="75">
        <f t="shared" si="11"/>
        <v>0</v>
      </c>
      <c r="H81" s="73" cm="1">
        <f t="array" ref="H81">_xll.DBR($A$6,B81,$D$1,"Departman Toplam",$J$6,$J$5,"Amount Cost")</f>
        <v>0</v>
      </c>
      <c r="I81" s="74">
        <f t="shared" si="12"/>
        <v>0</v>
      </c>
      <c r="J81" s="75">
        <f t="shared" si="13"/>
        <v>0</v>
      </c>
      <c r="K81" s="73" cm="1">
        <f t="array" ref="K81">_xll.DBR($A$5,B81,$D$1,$L$6,$L$5,"Karşlılık Sonrası - Aylık")</f>
        <v>0</v>
      </c>
      <c r="L81" s="75">
        <f t="shared" si="14"/>
        <v>0</v>
      </c>
      <c r="M81" s="56"/>
      <c r="N81" s="73" cm="1">
        <f t="array" ref="N81">_xll.DBR($A$5,B81,$D$1,$O$6,$O$5,"Karşılık Sonrası - YTD")</f>
        <v>440000</v>
      </c>
      <c r="O81" s="64"/>
      <c r="P81" s="73" cm="1">
        <f t="array" ref="P81">_xll.DBR($A$6,B81,$D$1,"Departman Toplam",$R$6,$R$5&amp;"-YTD","Amount Cost")</f>
        <v>0</v>
      </c>
      <c r="Q81" s="74">
        <f t="shared" si="15"/>
        <v>440000</v>
      </c>
      <c r="R81" s="75">
        <f t="shared" si="16"/>
        <v>0</v>
      </c>
      <c r="S81" s="73" cm="1">
        <f t="array" ref="S81">_xll.DBR($A$6,B81,$D$1,"Departman Toplam",$U$6,$U$5&amp;"-YTD","Amount Cost")</f>
        <v>0</v>
      </c>
      <c r="T81" s="74">
        <f t="shared" si="17"/>
        <v>440000</v>
      </c>
      <c r="U81" s="75">
        <f t="shared" si="18"/>
        <v>0</v>
      </c>
      <c r="V81" s="73" cm="1">
        <f t="array" ref="V81">_xll.DBR($A$5,B81,$D$1,$W$6,$W$5,"Karşılık Sonrası - YTD")</f>
        <v>0</v>
      </c>
      <c r="W81" s="75">
        <f t="shared" si="19"/>
        <v>0</v>
      </c>
    </row>
    <row r="82" spans="2:23">
      <c r="B82" s="56" t="s">
        <v>149</v>
      </c>
      <c r="C82" s="73" cm="1">
        <f t="array" ref="C82">_xll.DBR($A$5,B82,$D$1,$D$6,$D$5,"Karşlılık Sonrası - Aylık")</f>
        <v>0</v>
      </c>
      <c r="D82" s="64"/>
      <c r="E82" s="73" cm="1">
        <f t="array" ref="E82">_xll.DBR($A$6,B82,$D$1,"Departman Toplam",$G$6,$G$5,"Amount Cost")</f>
        <v>1186522.8871999998</v>
      </c>
      <c r="F82" s="74">
        <f t="shared" si="10"/>
        <v>-1186522.8871999998</v>
      </c>
      <c r="G82" s="75">
        <f t="shared" si="11"/>
        <v>-1</v>
      </c>
      <c r="H82" s="73" cm="1">
        <f t="array" ref="H82">_xll.DBR($A$6,B82,$D$1,"Departman Toplam",$J$6,$J$5,"Amount Cost")</f>
        <v>1154434.9500599997</v>
      </c>
      <c r="I82" s="74">
        <f t="shared" si="12"/>
        <v>-1154434.9500599997</v>
      </c>
      <c r="J82" s="75">
        <f t="shared" si="13"/>
        <v>-1</v>
      </c>
      <c r="K82" s="73" cm="1">
        <f t="array" ref="K82">_xll.DBR($A$5,B82,$D$1,$L$6,$L$5,"Karşlılık Sonrası - Aylık")</f>
        <v>757489.49000000022</v>
      </c>
      <c r="L82" s="75">
        <f t="shared" si="14"/>
        <v>-1</v>
      </c>
      <c r="M82" s="56"/>
      <c r="N82" s="73" cm="1">
        <f t="array" ref="N82">_xll.DBR($A$5,B82,$D$1,$O$6,$O$5,"Karşılık Sonrası - YTD")</f>
        <v>8012686.4199999971</v>
      </c>
      <c r="O82" s="64"/>
      <c r="P82" s="73" cm="1">
        <f t="array" ref="P82">_xll.DBR($A$6,B82,$D$1,"Departman Toplam",$R$6,$R$5&amp;"-YTD","Amount Cost")</f>
        <v>11397420.172599997</v>
      </c>
      <c r="Q82" s="74">
        <f t="shared" si="15"/>
        <v>-3384733.7526000002</v>
      </c>
      <c r="R82" s="75">
        <f t="shared" si="16"/>
        <v>-0.29697367486170945</v>
      </c>
      <c r="S82" s="73" cm="1">
        <f t="array" ref="S82">_xll.DBR($A$6,B82,$D$1,"Departman Toplam",$U$6,$U$5&amp;"-YTD","Amount Cost")</f>
        <v>9501250.7796899974</v>
      </c>
      <c r="T82" s="74">
        <f t="shared" si="17"/>
        <v>-1488564.3596900003</v>
      </c>
      <c r="U82" s="75">
        <f t="shared" si="18"/>
        <v>-0.1566703578514079</v>
      </c>
      <c r="V82" s="73" cm="1">
        <f t="array" ref="V82">_xll.DBR($A$5,B82,$D$1,$W$6,$W$5,"Karşılık Sonrası - YTD")</f>
        <v>6588735.2300000014</v>
      </c>
      <c r="W82" s="75">
        <f t="shared" si="19"/>
        <v>0.2161190486933553</v>
      </c>
    </row>
    <row r="83" spans="2:23">
      <c r="B83" s="56" t="s">
        <v>150</v>
      </c>
      <c r="C83" s="73" cm="1">
        <f t="array" ref="C83">_xll.DBR($A$5,B83,$D$1,$D$6,$D$5,"Karşlılık Sonrası - Aylık")</f>
        <v>0</v>
      </c>
      <c r="D83" s="64"/>
      <c r="E83" s="73" cm="1">
        <f t="array" ref="E83">_xll.DBR($A$6,B83,$D$1,"Departman Toplam",$G$6,$G$5,"Amount Cost")</f>
        <v>112798.85724999996</v>
      </c>
      <c r="F83" s="74">
        <f t="shared" si="10"/>
        <v>-112798.85724999996</v>
      </c>
      <c r="G83" s="75">
        <f t="shared" si="11"/>
        <v>-1</v>
      </c>
      <c r="H83" s="73" cm="1">
        <f t="array" ref="H83">_xll.DBR($A$6,B83,$D$1,"Departman Toplam",$J$6,$J$5,"Amount Cost")</f>
        <v>109256.60000000002</v>
      </c>
      <c r="I83" s="74">
        <f t="shared" si="12"/>
        <v>-109256.60000000002</v>
      </c>
      <c r="J83" s="75">
        <f t="shared" si="13"/>
        <v>-1</v>
      </c>
      <c r="K83" s="73" cm="1">
        <f t="array" ref="K83">_xll.DBR($A$5,B83,$D$1,$L$6,$L$5,"Karşlılık Sonrası - Aylık")</f>
        <v>61131.37</v>
      </c>
      <c r="L83" s="75">
        <f t="shared" si="14"/>
        <v>-1</v>
      </c>
      <c r="M83" s="56"/>
      <c r="N83" s="73" cm="1">
        <f t="array" ref="N83">_xll.DBR($A$5,B83,$D$1,$O$6,$O$5,"Karşılık Sonrası - YTD")</f>
        <v>819596.93999999971</v>
      </c>
      <c r="O83" s="64"/>
      <c r="P83" s="73" cm="1">
        <f t="array" ref="P83">_xll.DBR($A$6,B83,$D$1,"Departman Toplam",$R$6,$R$5&amp;"-YTD","Amount Cost")</f>
        <v>1123609.2737500002</v>
      </c>
      <c r="Q83" s="74">
        <f t="shared" si="15"/>
        <v>-304012.33375000046</v>
      </c>
      <c r="R83" s="75">
        <f t="shared" si="16"/>
        <v>-0.27056766159945589</v>
      </c>
      <c r="S83" s="73" cm="1">
        <f t="array" ref="S83">_xll.DBR($A$6,B83,$D$1,"Departman Toplam",$U$6,$U$5&amp;"-YTD","Amount Cost")</f>
        <v>961064.62</v>
      </c>
      <c r="T83" s="74">
        <f t="shared" si="17"/>
        <v>-141467.68000000028</v>
      </c>
      <c r="U83" s="75">
        <f t="shared" si="18"/>
        <v>-0.14719892612423949</v>
      </c>
      <c r="V83" s="73" cm="1">
        <f t="array" ref="V83">_xll.DBR($A$5,B83,$D$1,$W$6,$W$5,"Karşılık Sonrası - YTD")</f>
        <v>503049.99</v>
      </c>
      <c r="W83" s="75">
        <f t="shared" si="19"/>
        <v>0.62925545431379437</v>
      </c>
    </row>
    <row r="84" spans="2:23">
      <c r="B84" s="56" t="s">
        <v>151</v>
      </c>
      <c r="C84" s="73" cm="1">
        <f t="array" ref="C84">_xll.DBR($A$5,B84,$D$1,$D$6,$D$5,"Karşlılık Sonrası - Aylık")</f>
        <v>0</v>
      </c>
      <c r="D84" s="64"/>
      <c r="E84" s="73" cm="1">
        <f t="array" ref="E84">_xll.DBR($A$6,B84,$D$1,"Departman Toplam",$G$6,$G$5,"Amount Cost")</f>
        <v>102700.675</v>
      </c>
      <c r="F84" s="74">
        <f t="shared" si="10"/>
        <v>-102700.675</v>
      </c>
      <c r="G84" s="75">
        <f t="shared" si="11"/>
        <v>-1</v>
      </c>
      <c r="H84" s="73" cm="1">
        <f t="array" ref="H84">_xll.DBR($A$6,B84,$D$1,"Departman Toplam",$J$6,$J$5,"Amount Cost")</f>
        <v>98884.683333333334</v>
      </c>
      <c r="I84" s="74">
        <f t="shared" si="12"/>
        <v>-98884.683333333334</v>
      </c>
      <c r="J84" s="75">
        <f t="shared" si="13"/>
        <v>-1</v>
      </c>
      <c r="K84" s="73" cm="1">
        <f t="array" ref="K84">_xll.DBR($A$5,B84,$D$1,$L$6,$L$5,"Karşlılık Sonrası - Aylık")</f>
        <v>65736.17</v>
      </c>
      <c r="L84" s="75">
        <f t="shared" si="14"/>
        <v>-1</v>
      </c>
      <c r="M84" s="56"/>
      <c r="N84" s="73" cm="1">
        <f t="array" ref="N84">_xll.DBR($A$5,B84,$D$1,$O$6,$O$5,"Karşılık Sonrası - YTD")</f>
        <v>1316337.8100000003</v>
      </c>
      <c r="O84" s="64"/>
      <c r="P84" s="73" cm="1">
        <f t="array" ref="P84">_xll.DBR($A$6,B84,$D$1,"Departman Toplam",$R$6,$R$5&amp;"-YTD","Amount Cost")</f>
        <v>1129287.4250000003</v>
      </c>
      <c r="Q84" s="74">
        <f t="shared" si="15"/>
        <v>187050.38500000001</v>
      </c>
      <c r="R84" s="75">
        <f t="shared" si="16"/>
        <v>0.16563576363209745</v>
      </c>
      <c r="S84" s="73" cm="1">
        <f t="array" ref="S84">_xll.DBR($A$6,B84,$D$1,"Departman Toplam",$U$6,$U$5&amp;"-YTD","Amount Cost")</f>
        <v>1336492.2266666668</v>
      </c>
      <c r="T84" s="74">
        <f t="shared" si="17"/>
        <v>-20154.416666666511</v>
      </c>
      <c r="U84" s="75">
        <f t="shared" si="18"/>
        <v>-1.5080085214512217E-2</v>
      </c>
      <c r="V84" s="73" cm="1">
        <f t="array" ref="V84">_xll.DBR($A$5,B84,$D$1,$W$6,$W$5,"Karşılık Sonrası - YTD")</f>
        <v>661259.96000000008</v>
      </c>
      <c r="W84" s="75">
        <f t="shared" si="19"/>
        <v>0.99065101416393053</v>
      </c>
    </row>
    <row r="85" spans="2:23">
      <c r="B85" s="56" t="s">
        <v>152</v>
      </c>
      <c r="C85" s="73" cm="1">
        <f t="array" ref="C85">_xll.DBR($A$5,B85,$D$1,$D$6,$D$5,"Karşlılık Sonrası - Aylık")</f>
        <v>0</v>
      </c>
      <c r="D85" s="64"/>
      <c r="E85" s="73" cm="1">
        <f t="array" ref="E85">_xll.DBR($A$6,B85,$D$1,"Departman Toplam",$G$6,$G$5,"Amount Cost")</f>
        <v>2229827.0833333335</v>
      </c>
      <c r="F85" s="74">
        <f t="shared" si="10"/>
        <v>-2229827.0833333335</v>
      </c>
      <c r="G85" s="75">
        <f t="shared" si="11"/>
        <v>-1</v>
      </c>
      <c r="H85" s="73" cm="1">
        <f t="array" ref="H85">_xll.DBR($A$6,B85,$D$1,"Departman Toplam",$J$6,$J$5,"Amount Cost")</f>
        <v>2126277.0833333335</v>
      </c>
      <c r="I85" s="74">
        <f t="shared" si="12"/>
        <v>-2126277.0833333335</v>
      </c>
      <c r="J85" s="75">
        <f t="shared" si="13"/>
        <v>-1</v>
      </c>
      <c r="K85" s="73" cm="1">
        <f t="array" ref="K85">_xll.DBR($A$5,B85,$D$1,$L$6,$L$5,"Karşlılık Sonrası - Aylık")</f>
        <v>2332369.16</v>
      </c>
      <c r="L85" s="75">
        <f t="shared" si="14"/>
        <v>-1</v>
      </c>
      <c r="M85" s="56"/>
      <c r="N85" s="73" cm="1">
        <f t="array" ref="N85">_xll.DBR($A$5,B85,$D$1,$O$6,$O$5,"Karşılık Sonrası - YTD")</f>
        <v>18124369.210000001</v>
      </c>
      <c r="O85" s="64"/>
      <c r="P85" s="73" cm="1">
        <f t="array" ref="P85">_xll.DBR($A$6,B85,$D$1,"Departman Toplam",$R$6,$R$5&amp;"-YTD","Amount Cost")</f>
        <v>19806247.916666668</v>
      </c>
      <c r="Q85" s="74">
        <f t="shared" si="15"/>
        <v>-1681878.706666667</v>
      </c>
      <c r="R85" s="75">
        <f t="shared" si="16"/>
        <v>-8.4916573484440261E-2</v>
      </c>
      <c r="S85" s="73" cm="1">
        <f t="array" ref="S85">_xll.DBR($A$6,B85,$D$1,"Departman Toplam",$U$6,$U$5&amp;"-YTD","Amount Cost")</f>
        <v>20271578.126666665</v>
      </c>
      <c r="T85" s="74">
        <f t="shared" si="17"/>
        <v>-2147208.9166666642</v>
      </c>
      <c r="U85" s="75">
        <f t="shared" si="18"/>
        <v>-0.10592213902883436</v>
      </c>
      <c r="V85" s="73" cm="1">
        <f t="array" ref="V85">_xll.DBR($A$5,B85,$D$1,$W$6,$W$5,"Karşılık Sonrası - YTD")</f>
        <v>16751369.810000002</v>
      </c>
      <c r="W85" s="75">
        <f t="shared" si="19"/>
        <v>8.1963410489592575E-2</v>
      </c>
    </row>
    <row r="86" spans="2:23">
      <c r="B86" s="56" t="s">
        <v>153</v>
      </c>
      <c r="C86" s="73" cm="1">
        <f t="array" ref="C86">_xll.DBR($A$5,B86,$D$1,$D$6,$D$5,"Karşlılık Sonrası - Aylık")</f>
        <v>0</v>
      </c>
      <c r="D86" s="64"/>
      <c r="E86" s="73" cm="1">
        <f t="array" ref="E86">_xll.DBR($A$6,B86,$D$1,"Departman Toplam",$G$6,$G$5,"Amount Cost")</f>
        <v>7755774.8474825947</v>
      </c>
      <c r="F86" s="74">
        <f t="shared" si="10"/>
        <v>-7755774.8474825947</v>
      </c>
      <c r="G86" s="75">
        <f t="shared" si="11"/>
        <v>-1</v>
      </c>
      <c r="H86" s="73" cm="1">
        <f t="array" ref="H86">_xll.DBR($A$6,B86,$D$1,"Departman Toplam",$J$6,$J$5,"Amount Cost")</f>
        <v>7080369.8052467797</v>
      </c>
      <c r="I86" s="74">
        <f t="shared" si="12"/>
        <v>-7080369.8052467797</v>
      </c>
      <c r="J86" s="75">
        <f t="shared" si="13"/>
        <v>-1</v>
      </c>
      <c r="K86" s="73" cm="1">
        <f t="array" ref="K86">_xll.DBR($A$5,B86,$D$1,$L$6,$L$5,"Karşlılık Sonrası - Aylık")</f>
        <v>5565595.4035099996</v>
      </c>
      <c r="L86" s="75">
        <f t="shared" si="14"/>
        <v>-1</v>
      </c>
      <c r="M86" s="56"/>
      <c r="N86" s="73" cm="1">
        <f t="array" ref="N86">_xll.DBR($A$5,B86,$D$1,$O$6,$O$5,"Karşılık Sonrası - YTD")</f>
        <v>77066824.370000005</v>
      </c>
      <c r="O86" s="64"/>
      <c r="P86" s="73" cm="1">
        <f t="array" ref="P86">_xll.DBR($A$6,B86,$D$1,"Departman Toplam",$R$6,$R$5&amp;"-YTD","Amount Cost")</f>
        <v>90978285.922779426</v>
      </c>
      <c r="Q86" s="74">
        <f t="shared" si="15"/>
        <v>-13911461.552779421</v>
      </c>
      <c r="R86" s="75">
        <f t="shared" si="16"/>
        <v>-0.15290969061108928</v>
      </c>
      <c r="S86" s="73" cm="1">
        <f t="array" ref="S86">_xll.DBR($A$6,B86,$D$1,"Departman Toplam",$U$6,$U$5&amp;"-YTD","Amount Cost")</f>
        <v>84776706.245809257</v>
      </c>
      <c r="T86" s="74">
        <f t="shared" si="17"/>
        <v>-7709881.8758092523</v>
      </c>
      <c r="U86" s="75">
        <f t="shared" si="18"/>
        <v>-9.0943399634500099E-2</v>
      </c>
      <c r="V86" s="73" cm="1">
        <f t="array" ref="V86">_xll.DBR($A$5,B86,$D$1,$W$6,$W$5,"Karşılık Sonrası - YTD")</f>
        <v>52301969.819999993</v>
      </c>
      <c r="W86" s="75">
        <f t="shared" si="19"/>
        <v>0.47349754961867735</v>
      </c>
    </row>
    <row r="87" spans="2:23">
      <c r="B87" s="56" t="s">
        <v>154</v>
      </c>
      <c r="C87" s="73" cm="1">
        <f t="array" ref="C87">_xll.DBR($A$5,B87,$D$1,$D$6,$D$5,"Karşlılık Sonrası - Aylık")</f>
        <v>0</v>
      </c>
      <c r="D87" s="64"/>
      <c r="E87" s="73" cm="1">
        <f t="array" ref="E87">_xll.DBR($A$6,B87,$D$1,"Departman Toplam",$G$6,$G$5,"Amount Cost")</f>
        <v>1536.42</v>
      </c>
      <c r="F87" s="74">
        <f t="shared" si="10"/>
        <v>-1536.42</v>
      </c>
      <c r="G87" s="75">
        <f t="shared" si="11"/>
        <v>-1</v>
      </c>
      <c r="H87" s="73" cm="1">
        <f t="array" ref="H87">_xll.DBR($A$6,B87,$D$1,"Departman Toplam",$J$6,$J$5,"Amount Cost")</f>
        <v>1536.42</v>
      </c>
      <c r="I87" s="74">
        <f t="shared" si="12"/>
        <v>-1536.42</v>
      </c>
      <c r="J87" s="75">
        <f t="shared" si="13"/>
        <v>-1</v>
      </c>
      <c r="K87" s="73" cm="1">
        <f t="array" ref="K87">_xll.DBR($A$5,B87,$D$1,$L$6,$L$5,"Karşlılık Sonrası - Aylık")</f>
        <v>0</v>
      </c>
      <c r="L87" s="75">
        <f t="shared" si="14"/>
        <v>0</v>
      </c>
      <c r="M87" s="56"/>
      <c r="N87" s="73" cm="1">
        <f t="array" ref="N87">_xll.DBR($A$5,B87,$D$1,$O$6,$O$5,"Karşılık Sonrası - YTD")</f>
        <v>16788.53</v>
      </c>
      <c r="O87" s="64"/>
      <c r="P87" s="73" cm="1">
        <f t="array" ref="P87">_xll.DBR($A$6,B87,$D$1,"Departman Toplam",$R$6,$R$5&amp;"-YTD","Amount Cost")</f>
        <v>32558.619999999988</v>
      </c>
      <c r="Q87" s="74">
        <f t="shared" si="15"/>
        <v>-15770.089999999989</v>
      </c>
      <c r="R87" s="75">
        <f t="shared" si="16"/>
        <v>-0.48435990223172837</v>
      </c>
      <c r="S87" s="73" cm="1">
        <f t="array" ref="S87">_xll.DBR($A$6,B87,$D$1,"Departman Toplam",$U$6,$U$5&amp;"-YTD","Amount Cost")</f>
        <v>19861.369999999995</v>
      </c>
      <c r="T87" s="74">
        <f t="shared" si="17"/>
        <v>-3072.8399999999965</v>
      </c>
      <c r="U87" s="75">
        <f t="shared" si="18"/>
        <v>-0.15471440288358745</v>
      </c>
      <c r="V87" s="73" cm="1">
        <f t="array" ref="V87">_xll.DBR($A$5,B87,$D$1,$W$6,$W$5,"Karşılık Sonrası - YTD")</f>
        <v>11026.909999999998</v>
      </c>
      <c r="W87" s="75">
        <f t="shared" si="19"/>
        <v>0.52250539815777963</v>
      </c>
    </row>
    <row r="88" spans="2:23">
      <c r="B88" s="56" t="s">
        <v>155</v>
      </c>
      <c r="C88" s="73" cm="1">
        <f t="array" ref="C88">_xll.DBR($A$5,B88,$D$1,$D$6,$D$5,"Karşlılık Sonrası - Aylık")</f>
        <v>0</v>
      </c>
      <c r="D88" s="64"/>
      <c r="E88" s="73" cm="1">
        <f t="array" ref="E88">_xll.DBR($A$6,B88,$D$1,"Departman Toplam",$G$6,$G$5,"Amount Cost")</f>
        <v>0</v>
      </c>
      <c r="F88" s="74">
        <f t="shared" si="10"/>
        <v>0</v>
      </c>
      <c r="G88" s="75">
        <f t="shared" si="11"/>
        <v>0</v>
      </c>
      <c r="H88" s="73" cm="1">
        <f t="array" ref="H88">_xll.DBR($A$6,B88,$D$1,"Departman Toplam",$J$6,$J$5,"Amount Cost")</f>
        <v>0</v>
      </c>
      <c r="I88" s="74">
        <f t="shared" si="12"/>
        <v>0</v>
      </c>
      <c r="J88" s="75">
        <f t="shared" si="13"/>
        <v>0</v>
      </c>
      <c r="K88" s="73" cm="1">
        <f t="array" ref="K88">_xll.DBR($A$5,B88,$D$1,$L$6,$L$5,"Karşlılık Sonrası - Aylık")</f>
        <v>0</v>
      </c>
      <c r="L88" s="75">
        <f t="shared" si="14"/>
        <v>0</v>
      </c>
      <c r="M88" s="56"/>
      <c r="N88" s="73" cm="1">
        <f t="array" ref="N88">_xll.DBR($A$5,B88,$D$1,$O$6,$O$5,"Karşılık Sonrası - YTD")</f>
        <v>0</v>
      </c>
      <c r="O88" s="64"/>
      <c r="P88" s="73" cm="1">
        <f t="array" ref="P88">_xll.DBR($A$6,B88,$D$1,"Departman Toplam",$R$6,$R$5&amp;"-YTD","Amount Cost")</f>
        <v>0</v>
      </c>
      <c r="Q88" s="74">
        <f t="shared" si="15"/>
        <v>0</v>
      </c>
      <c r="R88" s="75">
        <f t="shared" si="16"/>
        <v>0</v>
      </c>
      <c r="S88" s="73" cm="1">
        <f t="array" ref="S88">_xll.DBR($A$6,B88,$D$1,"Departman Toplam",$U$6,$U$5&amp;"-YTD","Amount Cost")</f>
        <v>0</v>
      </c>
      <c r="T88" s="74">
        <f t="shared" si="17"/>
        <v>0</v>
      </c>
      <c r="U88" s="75">
        <f t="shared" si="18"/>
        <v>0</v>
      </c>
      <c r="V88" s="73" cm="1">
        <f t="array" ref="V88">_xll.DBR($A$5,B88,$D$1,$W$6,$W$5,"Karşılık Sonrası - YTD")</f>
        <v>129512.37</v>
      </c>
      <c r="W88" s="75">
        <f t="shared" si="19"/>
        <v>-1</v>
      </c>
    </row>
    <row r="89" spans="2:23">
      <c r="B89" s="56" t="s">
        <v>156</v>
      </c>
      <c r="C89" s="73" cm="1">
        <f t="array" ref="C89">_xll.DBR($A$5,B89,$D$1,$D$6,$D$5,"Karşlılık Sonrası - Aylık")</f>
        <v>0</v>
      </c>
      <c r="D89" s="64"/>
      <c r="E89" s="73" cm="1">
        <f t="array" ref="E89">_xll.DBR($A$6,B89,$D$1,"Departman Toplam",$G$6,$G$5,"Amount Cost")</f>
        <v>19161</v>
      </c>
      <c r="F89" s="74">
        <f t="shared" si="10"/>
        <v>-19161</v>
      </c>
      <c r="G89" s="75">
        <f t="shared" si="11"/>
        <v>-1</v>
      </c>
      <c r="H89" s="73" cm="1">
        <f t="array" ref="H89">_xll.DBR($A$6,B89,$D$1,"Departman Toplam",$J$6,$J$5,"Amount Cost")</f>
        <v>19161</v>
      </c>
      <c r="I89" s="74">
        <f t="shared" si="12"/>
        <v>-19161</v>
      </c>
      <c r="J89" s="75">
        <f t="shared" si="13"/>
        <v>-1</v>
      </c>
      <c r="K89" s="73" cm="1">
        <f t="array" ref="K89">_xll.DBR($A$5,B89,$D$1,$L$6,$L$5,"Karşlılık Sonrası - Aylık")</f>
        <v>44101.740000000005</v>
      </c>
      <c r="L89" s="75">
        <f t="shared" si="14"/>
        <v>-1</v>
      </c>
      <c r="M89" s="56"/>
      <c r="N89" s="73" cm="1">
        <f t="array" ref="N89">_xll.DBR($A$5,B89,$D$1,$O$6,$O$5,"Karşılık Sonrası - YTD")</f>
        <v>724821.63999999978</v>
      </c>
      <c r="O89" s="64"/>
      <c r="P89" s="73" cm="1">
        <f t="array" ref="P89">_xll.DBR($A$6,B89,$D$1,"Departman Toplam",$R$6,$R$5&amp;"-YTD","Amount Cost")</f>
        <v>1839853.15</v>
      </c>
      <c r="Q89" s="74">
        <f t="shared" si="15"/>
        <v>-1115031.5100000002</v>
      </c>
      <c r="R89" s="75">
        <f t="shared" si="16"/>
        <v>-0.60604375408983069</v>
      </c>
      <c r="S89" s="73" cm="1">
        <f t="array" ref="S89">_xll.DBR($A$6,B89,$D$1,"Departman Toplam",$U$6,$U$5&amp;"-YTD","Amount Cost")</f>
        <v>1392085.9899999998</v>
      </c>
      <c r="T89" s="74">
        <f t="shared" si="17"/>
        <v>-667264.35</v>
      </c>
      <c r="U89" s="75">
        <f t="shared" si="18"/>
        <v>-0.47932696312819018</v>
      </c>
      <c r="V89" s="73" cm="1">
        <f t="array" ref="V89">_xll.DBR($A$5,B89,$D$1,$W$6,$W$5,"Karşılık Sonrası - YTD")</f>
        <v>354672.64999999997</v>
      </c>
      <c r="W89" s="75">
        <f t="shared" si="19"/>
        <v>1.0436355608474459</v>
      </c>
    </row>
    <row r="90" spans="2:23">
      <c r="B90" s="56" t="s">
        <v>157</v>
      </c>
      <c r="C90" s="73" cm="1">
        <f t="array" ref="C90">_xll.DBR($A$5,B90,$D$1,$D$6,$D$5,"Karşlılık Sonrası - Aylık")</f>
        <v>0</v>
      </c>
      <c r="D90" s="64"/>
      <c r="E90" s="73" cm="1">
        <f t="array" ref="E90">_xll.DBR($A$6,B90,$D$1,"Departman Toplam",$G$6,$G$5,"Amount Cost")</f>
        <v>0</v>
      </c>
      <c r="F90" s="74">
        <f t="shared" si="10"/>
        <v>0</v>
      </c>
      <c r="G90" s="75">
        <f t="shared" si="11"/>
        <v>0</v>
      </c>
      <c r="H90" s="73" cm="1">
        <f t="array" ref="H90">_xll.DBR($A$6,B90,$D$1,"Departman Toplam",$J$6,$J$5,"Amount Cost")</f>
        <v>0</v>
      </c>
      <c r="I90" s="74">
        <f t="shared" si="12"/>
        <v>0</v>
      </c>
      <c r="J90" s="75">
        <f t="shared" si="13"/>
        <v>0</v>
      </c>
      <c r="K90" s="73" cm="1">
        <f t="array" ref="K90">_xll.DBR($A$5,B90,$D$1,$L$6,$L$5,"Karşlılık Sonrası - Aylık")</f>
        <v>0</v>
      </c>
      <c r="L90" s="75">
        <f t="shared" si="14"/>
        <v>0</v>
      </c>
      <c r="M90" s="56"/>
      <c r="N90" s="73" cm="1">
        <f t="array" ref="N90">_xll.DBR($A$5,B90,$D$1,$O$6,$O$5,"Karşılık Sonrası - YTD")</f>
        <v>0</v>
      </c>
      <c r="O90" s="64"/>
      <c r="P90" s="73" cm="1">
        <f t="array" ref="P90">_xll.DBR($A$6,B90,$D$1,"Departman Toplam",$R$6,$R$5&amp;"-YTD","Amount Cost")</f>
        <v>0</v>
      </c>
      <c r="Q90" s="74">
        <f t="shared" si="15"/>
        <v>0</v>
      </c>
      <c r="R90" s="75">
        <f t="shared" si="16"/>
        <v>0</v>
      </c>
      <c r="S90" s="73" cm="1">
        <f t="array" ref="S90">_xll.DBR($A$6,B90,$D$1,"Departman Toplam",$U$6,$U$5&amp;"-YTD","Amount Cost")</f>
        <v>0</v>
      </c>
      <c r="T90" s="74">
        <f t="shared" si="17"/>
        <v>0</v>
      </c>
      <c r="U90" s="75">
        <f t="shared" si="18"/>
        <v>0</v>
      </c>
      <c r="V90" s="73" cm="1">
        <f t="array" ref="V90">_xll.DBR($A$5,B90,$D$1,$W$6,$W$5,"Karşılık Sonrası - YTD")</f>
        <v>0</v>
      </c>
      <c r="W90" s="75">
        <f t="shared" si="19"/>
        <v>0</v>
      </c>
    </row>
    <row r="91" spans="2:23">
      <c r="B91" s="56" t="s">
        <v>158</v>
      </c>
      <c r="C91" s="73" cm="1">
        <f t="array" ref="C91">_xll.DBR($A$5,B91,$D$1,$D$6,$D$5,"Karşlılık Sonrası - Aylık")</f>
        <v>0</v>
      </c>
      <c r="D91" s="64"/>
      <c r="E91" s="73" cm="1">
        <f t="array" ref="E91">_xll.DBR($A$6,B91,$D$1,"Departman Toplam",$G$6,$G$5,"Amount Cost")</f>
        <v>1480041.7299999967</v>
      </c>
      <c r="F91" s="74">
        <f t="shared" si="10"/>
        <v>-1480041.7299999967</v>
      </c>
      <c r="G91" s="75">
        <f t="shared" si="11"/>
        <v>-1</v>
      </c>
      <c r="H91" s="73" cm="1">
        <f t="array" ref="H91">_xll.DBR($A$6,B91,$D$1,"Departman Toplam",$J$6,$J$5,"Amount Cost")</f>
        <v>1477301.8999999973</v>
      </c>
      <c r="I91" s="74">
        <f t="shared" si="12"/>
        <v>-1477301.8999999973</v>
      </c>
      <c r="J91" s="75">
        <f t="shared" si="13"/>
        <v>-1</v>
      </c>
      <c r="K91" s="73" cm="1">
        <f t="array" ref="K91">_xll.DBR($A$5,B91,$D$1,$L$6,$L$5,"Karşlılık Sonrası - Aylık")</f>
        <v>1426015.3899999994</v>
      </c>
      <c r="L91" s="75">
        <f t="shared" si="14"/>
        <v>-1</v>
      </c>
      <c r="M91" s="56"/>
      <c r="N91" s="73" cm="1">
        <f t="array" ref="N91">_xll.DBR($A$5,B91,$D$1,$O$6,$O$5,"Karşılık Sonrası - YTD")</f>
        <v>7997084.8999999985</v>
      </c>
      <c r="O91" s="64"/>
      <c r="P91" s="73" cm="1">
        <f t="array" ref="P91">_xll.DBR($A$6,B91,$D$1,"Departman Toplam",$R$6,$R$5&amp;"-YTD","Amount Cost")</f>
        <v>8291288.069999991</v>
      </c>
      <c r="Q91" s="74">
        <f t="shared" si="15"/>
        <v>-294203.16999999247</v>
      </c>
      <c r="R91" s="75">
        <f t="shared" si="16"/>
        <v>-3.548340951564511E-2</v>
      </c>
      <c r="S91" s="73" cm="1">
        <f t="array" ref="S91">_xll.DBR($A$6,B91,$D$1,"Departman Toplam",$U$6,$U$5&amp;"-YTD","Amount Cost")</f>
        <v>9240879.5599999987</v>
      </c>
      <c r="T91" s="74">
        <f t="shared" si="17"/>
        <v>-1243794.6600000001</v>
      </c>
      <c r="U91" s="75">
        <f t="shared" si="18"/>
        <v>-0.13459699933585115</v>
      </c>
      <c r="V91" s="73" cm="1">
        <f t="array" ref="V91">_xll.DBR($A$5,B91,$D$1,$W$6,$W$5,"Karşılık Sonrası - YTD")</f>
        <v>7283579.1700000018</v>
      </c>
      <c r="W91" s="75">
        <f t="shared" si="19"/>
        <v>9.7960866951075726E-2</v>
      </c>
    </row>
    <row r="92" spans="2:23">
      <c r="B92" s="56" t="s">
        <v>159</v>
      </c>
      <c r="C92" s="73" cm="1">
        <f t="array" ref="C92">_xll.DBR($A$5,B92,$D$1,$D$6,$D$5,"Karşlılık Sonrası - Aylık")</f>
        <v>0</v>
      </c>
      <c r="D92" s="64"/>
      <c r="E92" s="73" cm="1">
        <f t="array" ref="E92">_xll.DBR($A$6,B92,$D$1,"Departman Toplam",$G$6,$G$5,"Amount Cost")</f>
        <v>0</v>
      </c>
      <c r="F92" s="74">
        <f t="shared" si="10"/>
        <v>0</v>
      </c>
      <c r="G92" s="75">
        <f t="shared" si="11"/>
        <v>0</v>
      </c>
      <c r="H92" s="73" cm="1">
        <f t="array" ref="H92">_xll.DBR($A$6,B92,$D$1,"Departman Toplam",$J$6,$J$5,"Amount Cost")</f>
        <v>0</v>
      </c>
      <c r="I92" s="74">
        <f t="shared" si="12"/>
        <v>0</v>
      </c>
      <c r="J92" s="75">
        <f t="shared" si="13"/>
        <v>0</v>
      </c>
      <c r="K92" s="73" cm="1">
        <f t="array" ref="K92">_xll.DBR($A$5,B92,$D$1,$L$6,$L$5,"Karşlılık Sonrası - Aylık")</f>
        <v>0</v>
      </c>
      <c r="L92" s="75">
        <f t="shared" si="14"/>
        <v>0</v>
      </c>
      <c r="M92" s="56"/>
      <c r="N92" s="73" cm="1">
        <f t="array" ref="N92">_xll.DBR($A$5,B92,$D$1,$O$6,$O$5,"Karşılık Sonrası - YTD")</f>
        <v>9925.51</v>
      </c>
      <c r="O92" s="64"/>
      <c r="P92" s="73" cm="1">
        <f t="array" ref="P92">_xll.DBR($A$6,B92,$D$1,"Departman Toplam",$R$6,$R$5&amp;"-YTD","Amount Cost")</f>
        <v>0</v>
      </c>
      <c r="Q92" s="74">
        <f t="shared" si="15"/>
        <v>9925.51</v>
      </c>
      <c r="R92" s="75">
        <f t="shared" si="16"/>
        <v>0</v>
      </c>
      <c r="S92" s="73" cm="1">
        <f t="array" ref="S92">_xll.DBR($A$6,B92,$D$1,"Departman Toplam",$U$6,$U$5&amp;"-YTD","Amount Cost")</f>
        <v>0</v>
      </c>
      <c r="T92" s="74">
        <f t="shared" si="17"/>
        <v>9925.51</v>
      </c>
      <c r="U92" s="75">
        <f t="shared" si="18"/>
        <v>0</v>
      </c>
      <c r="V92" s="73" cm="1">
        <f t="array" ref="V92">_xll.DBR($A$5,B92,$D$1,$W$6,$W$5,"Karşılık Sonrası - YTD")</f>
        <v>0</v>
      </c>
      <c r="W92" s="75">
        <f t="shared" si="19"/>
        <v>0</v>
      </c>
    </row>
    <row r="93" spans="2:23">
      <c r="B93" s="56" t="s">
        <v>160</v>
      </c>
      <c r="C93" s="73" cm="1">
        <f t="array" ref="C93">_xll.DBR($A$5,B93,$D$1,$D$6,$D$5,"Karşlılık Sonrası - Aylık")</f>
        <v>0</v>
      </c>
      <c r="D93" s="64"/>
      <c r="E93" s="73" cm="1">
        <f t="array" ref="E93">_xll.DBR($A$6,B93,$D$1,"Departman Toplam",$G$6,$G$5,"Amount Cost")</f>
        <v>0</v>
      </c>
      <c r="F93" s="74">
        <f t="shared" si="10"/>
        <v>0</v>
      </c>
      <c r="G93" s="75">
        <f t="shared" si="11"/>
        <v>0</v>
      </c>
      <c r="H93" s="73" cm="1">
        <f t="array" ref="H93">_xll.DBR($A$6,B93,$D$1,"Departman Toplam",$J$6,$J$5,"Amount Cost")</f>
        <v>0</v>
      </c>
      <c r="I93" s="74">
        <f t="shared" si="12"/>
        <v>0</v>
      </c>
      <c r="J93" s="75">
        <f t="shared" si="13"/>
        <v>0</v>
      </c>
      <c r="K93" s="73" cm="1">
        <f t="array" ref="K93">_xll.DBR($A$5,B93,$D$1,$L$6,$L$5,"Karşlılık Sonrası - Aylık")</f>
        <v>1.47</v>
      </c>
      <c r="L93" s="75">
        <f t="shared" si="14"/>
        <v>-1</v>
      </c>
      <c r="M93" s="56"/>
      <c r="N93" s="73" cm="1">
        <f t="array" ref="N93">_xll.DBR($A$5,B93,$D$1,$O$6,$O$5,"Karşılık Sonrası - YTD")</f>
        <v>55003.46</v>
      </c>
      <c r="O93" s="64"/>
      <c r="P93" s="73" cm="1">
        <f t="array" ref="P93">_xll.DBR($A$6,B93,$D$1,"Departman Toplam",$R$6,$R$5&amp;"-YTD","Amount Cost")</f>
        <v>0</v>
      </c>
      <c r="Q93" s="74">
        <f t="shared" si="15"/>
        <v>55003.46</v>
      </c>
      <c r="R93" s="75">
        <f t="shared" si="16"/>
        <v>0</v>
      </c>
      <c r="S93" s="73" cm="1">
        <f t="array" ref="S93">_xll.DBR($A$6,B93,$D$1,"Departman Toplam",$U$6,$U$5&amp;"-YTD","Amount Cost")</f>
        <v>48128.459999999992</v>
      </c>
      <c r="T93" s="74">
        <f t="shared" si="17"/>
        <v>6875.0000000000073</v>
      </c>
      <c r="U93" s="75">
        <f t="shared" si="18"/>
        <v>0.14284687272354046</v>
      </c>
      <c r="V93" s="73" cm="1">
        <f t="array" ref="V93">_xll.DBR($A$5,B93,$D$1,$W$6,$W$5,"Karşılık Sonrası - YTD")</f>
        <v>8965.7799999999988</v>
      </c>
      <c r="W93" s="75">
        <f t="shared" si="19"/>
        <v>5.1348215102311237</v>
      </c>
    </row>
    <row r="94" spans="2:23">
      <c r="B94" s="56" t="s">
        <v>161</v>
      </c>
      <c r="C94" s="73" cm="1">
        <f t="array" ref="C94">_xll.DBR($A$5,B94,$D$1,$D$6,$D$5,"Karşlılık Sonrası - Aylık")</f>
        <v>0</v>
      </c>
      <c r="D94" s="64"/>
      <c r="E94" s="73" cm="1">
        <f t="array" ref="E94">_xll.DBR($A$6,B94,$D$1,"Departman Toplam",$G$6,$G$5,"Amount Cost")</f>
        <v>0</v>
      </c>
      <c r="F94" s="74">
        <f t="shared" si="10"/>
        <v>0</v>
      </c>
      <c r="G94" s="75">
        <f t="shared" si="11"/>
        <v>0</v>
      </c>
      <c r="H94" s="73" cm="1">
        <f t="array" ref="H94">_xll.DBR($A$6,B94,$D$1,"Departman Toplam",$J$6,$J$5,"Amount Cost")</f>
        <v>0</v>
      </c>
      <c r="I94" s="74">
        <f t="shared" si="12"/>
        <v>0</v>
      </c>
      <c r="J94" s="75">
        <f t="shared" si="13"/>
        <v>0</v>
      </c>
      <c r="K94" s="73" cm="1">
        <f t="array" ref="K94">_xll.DBR($A$5,B94,$D$1,$L$6,$L$5,"Karşlılık Sonrası - Aylık")</f>
        <v>0</v>
      </c>
      <c r="L94" s="75">
        <f t="shared" si="14"/>
        <v>0</v>
      </c>
      <c r="M94" s="56"/>
      <c r="N94" s="73" cm="1">
        <f t="array" ref="N94">_xll.DBR($A$5,B94,$D$1,$O$6,$O$5,"Karşılık Sonrası - YTD")</f>
        <v>0</v>
      </c>
      <c r="O94" s="64"/>
      <c r="P94" s="73" cm="1">
        <f t="array" ref="P94">_xll.DBR($A$6,B94,$D$1,"Departman Toplam",$R$6,$R$5&amp;"-YTD","Amount Cost")</f>
        <v>0</v>
      </c>
      <c r="Q94" s="74">
        <f t="shared" si="15"/>
        <v>0</v>
      </c>
      <c r="R94" s="75">
        <f t="shared" si="16"/>
        <v>0</v>
      </c>
      <c r="S94" s="73" cm="1">
        <f t="array" ref="S94">_xll.DBR($A$6,B94,$D$1,"Departman Toplam",$U$6,$U$5&amp;"-YTD","Amount Cost")</f>
        <v>0</v>
      </c>
      <c r="T94" s="74">
        <f t="shared" si="17"/>
        <v>0</v>
      </c>
      <c r="U94" s="75">
        <f t="shared" si="18"/>
        <v>0</v>
      </c>
      <c r="V94" s="73" cm="1">
        <f t="array" ref="V94">_xll.DBR($A$5,B94,$D$1,$W$6,$W$5,"Karşılık Sonrası - YTD")</f>
        <v>0</v>
      </c>
      <c r="W94" s="75">
        <f t="shared" si="19"/>
        <v>0</v>
      </c>
    </row>
    <row r="95" spans="2:23">
      <c r="B95" s="56" t="s">
        <v>162</v>
      </c>
      <c r="C95" s="73" cm="1">
        <f t="array" ref="C95">_xll.DBR($A$5,B95,$D$1,$D$6,$D$5,"Karşlılık Sonrası - Aylık")</f>
        <v>0</v>
      </c>
      <c r="D95" s="64"/>
      <c r="E95" s="73" cm="1">
        <f t="array" ref="E95">_xll.DBR($A$6,B95,$D$1,"Departman Toplam",$G$6,$G$5,"Amount Cost")</f>
        <v>1798331.7721193675</v>
      </c>
      <c r="F95" s="74">
        <f t="shared" si="10"/>
        <v>-1798331.7721193675</v>
      </c>
      <c r="G95" s="75">
        <f t="shared" si="11"/>
        <v>-1</v>
      </c>
      <c r="H95" s="73" cm="1">
        <f t="array" ref="H95">_xll.DBR($A$6,B95,$D$1,"Departman Toplam",$J$6,$J$5,"Amount Cost")</f>
        <v>1428329.1691465511</v>
      </c>
      <c r="I95" s="74">
        <f t="shared" si="12"/>
        <v>-1428329.1691465511</v>
      </c>
      <c r="J95" s="75">
        <f t="shared" si="13"/>
        <v>-1</v>
      </c>
      <c r="K95" s="73" cm="1">
        <f t="array" ref="K95">_xll.DBR($A$5,B95,$D$1,$L$6,$L$5,"Karşlılık Sonrası - Aylık")</f>
        <v>450342.02000000078</v>
      </c>
      <c r="L95" s="75">
        <f t="shared" si="14"/>
        <v>-1</v>
      </c>
      <c r="M95" s="56"/>
      <c r="N95" s="73" cm="1">
        <f t="array" ref="N95">_xll.DBR($A$5,B95,$D$1,$O$6,$O$5,"Karşılık Sonrası - YTD")</f>
        <v>11463402.260000002</v>
      </c>
      <c r="O95" s="64"/>
      <c r="P95" s="73" cm="1">
        <f t="array" ref="P95">_xll.DBR($A$6,B95,$D$1,"Departman Toplam",$R$6,$R$5&amp;"-YTD","Amount Cost")</f>
        <v>16534009.896514622</v>
      </c>
      <c r="Q95" s="74">
        <f t="shared" si="15"/>
        <v>-5070607.6365146209</v>
      </c>
      <c r="R95" s="75">
        <f t="shared" si="16"/>
        <v>-0.30667742841883189</v>
      </c>
      <c r="S95" s="73" cm="1">
        <f t="array" ref="S95">_xll.DBR($A$6,B95,$D$1,"Departman Toplam",$U$6,$U$5&amp;"-YTD","Amount Cost")</f>
        <v>13204050.914795868</v>
      </c>
      <c r="T95" s="74">
        <f t="shared" si="17"/>
        <v>-1740648.6547958665</v>
      </c>
      <c r="U95" s="75">
        <f t="shared" si="18"/>
        <v>-0.13182686631762178</v>
      </c>
      <c r="V95" s="73" cm="1">
        <f t="array" ref="V95">_xll.DBR($A$5,B95,$D$1,$W$6,$W$5,"Karşılık Sonrası - YTD")</f>
        <v>11165596.940000003</v>
      </c>
      <c r="W95" s="75">
        <f t="shared" si="19"/>
        <v>2.6671688186516104E-2</v>
      </c>
    </row>
    <row r="96" spans="2:23">
      <c r="B96" s="56" t="s">
        <v>163</v>
      </c>
      <c r="C96" s="73" cm="1">
        <f t="array" ref="C96">_xll.DBR($A$5,B96,$D$1,$D$6,$D$5,"Karşlılık Sonrası - Aylık")</f>
        <v>0</v>
      </c>
      <c r="D96" s="64"/>
      <c r="E96" s="73" cm="1">
        <f t="array" ref="E96">_xll.DBR($A$6,B96,$D$1,"Departman Toplam",$G$6,$G$5,"Amount Cost")</f>
        <v>0</v>
      </c>
      <c r="F96" s="74">
        <f t="shared" si="10"/>
        <v>0</v>
      </c>
      <c r="G96" s="75">
        <f t="shared" si="11"/>
        <v>0</v>
      </c>
      <c r="H96" s="73" cm="1">
        <f t="array" ref="H96">_xll.DBR($A$6,B96,$D$1,"Departman Toplam",$J$6,$J$5,"Amount Cost")</f>
        <v>0</v>
      </c>
      <c r="I96" s="74">
        <f t="shared" si="12"/>
        <v>0</v>
      </c>
      <c r="J96" s="75">
        <f t="shared" si="13"/>
        <v>0</v>
      </c>
      <c r="K96" s="73" cm="1">
        <f t="array" ref="K96">_xll.DBR($A$5,B96,$D$1,$L$6,$L$5,"Karşlılık Sonrası - Aylık")</f>
        <v>0</v>
      </c>
      <c r="L96" s="75">
        <f t="shared" si="14"/>
        <v>0</v>
      </c>
      <c r="M96" s="56"/>
      <c r="N96" s="73" cm="1">
        <f t="array" ref="N96">_xll.DBR($A$5,B96,$D$1,$O$6,$O$5,"Karşılık Sonrası - YTD")</f>
        <v>0</v>
      </c>
      <c r="O96" s="64"/>
      <c r="P96" s="73" cm="1">
        <f t="array" ref="P96">_xll.DBR($A$6,B96,$D$1,"Departman Toplam",$R$6,$R$5&amp;"-YTD","Amount Cost")</f>
        <v>0</v>
      </c>
      <c r="Q96" s="74">
        <f t="shared" si="15"/>
        <v>0</v>
      </c>
      <c r="R96" s="75">
        <f t="shared" si="16"/>
        <v>0</v>
      </c>
      <c r="S96" s="73" cm="1">
        <f t="array" ref="S96">_xll.DBR($A$6,B96,$D$1,"Departman Toplam",$U$6,$U$5&amp;"-YTD","Amount Cost")</f>
        <v>0</v>
      </c>
      <c r="T96" s="74">
        <f t="shared" si="17"/>
        <v>0</v>
      </c>
      <c r="U96" s="75">
        <f t="shared" si="18"/>
        <v>0</v>
      </c>
      <c r="V96" s="73" cm="1">
        <f t="array" ref="V96">_xll.DBR($A$5,B96,$D$1,$W$6,$W$5,"Karşılık Sonrası - YTD")</f>
        <v>0</v>
      </c>
      <c r="W96" s="75">
        <f t="shared" si="19"/>
        <v>0</v>
      </c>
    </row>
    <row r="97" spans="2:23">
      <c r="B97" s="56" t="s">
        <v>164</v>
      </c>
      <c r="C97" s="73" cm="1">
        <f t="array" ref="C97">_xll.DBR($A$5,B97,$D$1,$D$6,$D$5,"Karşlılık Sonrası - Aylık")</f>
        <v>0</v>
      </c>
      <c r="D97" s="64"/>
      <c r="E97" s="73" cm="1">
        <f t="array" ref="E97">_xll.DBR($A$6,B97,$D$1,"Departman Toplam",$G$6,$G$5,"Amount Cost")</f>
        <v>458852.87000000005</v>
      </c>
      <c r="F97" s="74">
        <f t="shared" si="10"/>
        <v>-458852.87000000005</v>
      </c>
      <c r="G97" s="75">
        <f t="shared" si="11"/>
        <v>-1</v>
      </c>
      <c r="H97" s="73" cm="1">
        <f t="array" ref="H97">_xll.DBR($A$6,B97,$D$1,"Departman Toplam",$J$6,$J$5,"Amount Cost")</f>
        <v>458852.87000000005</v>
      </c>
      <c r="I97" s="74">
        <f t="shared" si="12"/>
        <v>-458852.87000000005</v>
      </c>
      <c r="J97" s="75">
        <f t="shared" si="13"/>
        <v>-1</v>
      </c>
      <c r="K97" s="73" cm="1">
        <f t="array" ref="K97">_xll.DBR($A$5,B97,$D$1,$L$6,$L$5,"Karşlılık Sonrası - Aylık")</f>
        <v>133451.4</v>
      </c>
      <c r="L97" s="75">
        <f t="shared" si="14"/>
        <v>-1</v>
      </c>
      <c r="M97" s="56"/>
      <c r="N97" s="73" cm="1">
        <f t="array" ref="N97">_xll.DBR($A$5,B97,$D$1,$O$6,$O$5,"Karşılık Sonrası - YTD")</f>
        <v>3187172.29</v>
      </c>
      <c r="O97" s="64"/>
      <c r="P97" s="73" cm="1">
        <f t="array" ref="P97">_xll.DBR($A$6,B97,$D$1,"Departman Toplam",$R$6,$R$5&amp;"-YTD","Amount Cost")</f>
        <v>4288230.72</v>
      </c>
      <c r="Q97" s="74">
        <f t="shared" si="15"/>
        <v>-1101058.4299999997</v>
      </c>
      <c r="R97" s="75">
        <f t="shared" si="16"/>
        <v>-0.2567628707253885</v>
      </c>
      <c r="S97" s="73" cm="1">
        <f t="array" ref="S97">_xll.DBR($A$6,B97,$D$1,"Departman Toplam",$U$6,$U$5&amp;"-YTD","Amount Cost")</f>
        <v>3646817.93</v>
      </c>
      <c r="T97" s="74">
        <f t="shared" si="17"/>
        <v>-459645.64000000013</v>
      </c>
      <c r="U97" s="75">
        <f t="shared" si="18"/>
        <v>-0.12604019417004461</v>
      </c>
      <c r="V97" s="73" cm="1">
        <f t="array" ref="V97">_xll.DBR($A$5,B97,$D$1,$W$6,$W$5,"Karşılık Sonrası - YTD")</f>
        <v>1958876.7399999995</v>
      </c>
      <c r="W97" s="75">
        <f t="shared" si="19"/>
        <v>0.62704075499921497</v>
      </c>
    </row>
    <row r="98" spans="2:23">
      <c r="B98" s="56" t="s">
        <v>192</v>
      </c>
      <c r="C98" s="73" cm="1">
        <f t="array" ref="C98">_xll.DBR($A$5,B98,$D$1,$D$6,$D$5,"Karşlılık Sonrası - Aylık")</f>
        <v>0</v>
      </c>
      <c r="D98" s="64"/>
      <c r="E98" s="73" cm="1">
        <f t="array" ref="E98">_xll.DBR($A$6,B98,$D$1,"Departman Toplam",$G$6,$G$5,"Amount Cost")</f>
        <v>2318807</v>
      </c>
      <c r="F98" s="74">
        <f t="shared" si="10"/>
        <v>-2318807</v>
      </c>
      <c r="G98" s="75">
        <f t="shared" si="11"/>
        <v>-1</v>
      </c>
      <c r="H98" s="73" cm="1">
        <f t="array" ref="H98">_xll.DBR($A$6,B98,$D$1,"Departman Toplam",$J$6,$J$5,"Amount Cost")</f>
        <v>1920000</v>
      </c>
      <c r="I98" s="74">
        <f t="shared" si="12"/>
        <v>-1920000</v>
      </c>
      <c r="J98" s="75">
        <f t="shared" si="13"/>
        <v>-1</v>
      </c>
      <c r="K98" s="73" cm="1">
        <f t="array" ref="K98">_xll.DBR($A$5,B98,$D$1,$L$6,$L$5,"Karşlılık Sonrası - Aylık")</f>
        <v>635440</v>
      </c>
      <c r="L98" s="75">
        <f t="shared" si="14"/>
        <v>-1</v>
      </c>
      <c r="M98" s="56"/>
      <c r="N98" s="73" cm="1">
        <f t="array" ref="N98">_xll.DBR($A$5,B98,$D$1,$O$6,$O$5,"Karşılık Sonrası - YTD")</f>
        <v>8835000</v>
      </c>
      <c r="O98" s="64"/>
      <c r="P98" s="73" cm="1">
        <f t="array" ref="P98">_xll.DBR($A$6,B98,$D$1,"Departman Toplam",$R$6,$R$5&amp;"-YTD","Amount Cost")</f>
        <v>13004039</v>
      </c>
      <c r="Q98" s="74">
        <f t="shared" si="15"/>
        <v>-4169039</v>
      </c>
      <c r="R98" s="75">
        <f t="shared" si="16"/>
        <v>-0.32059570107410473</v>
      </c>
      <c r="S98" s="73" cm="1">
        <f t="array" ref="S98">_xll.DBR($A$6,B98,$D$1,"Departman Toplam",$U$6,$U$5&amp;"-YTD","Amount Cost")</f>
        <v>10755000</v>
      </c>
      <c r="T98" s="74">
        <f t="shared" si="17"/>
        <v>-1920000</v>
      </c>
      <c r="U98" s="75">
        <f t="shared" si="18"/>
        <v>-0.17852161785216178</v>
      </c>
      <c r="V98" s="73" cm="1">
        <f t="array" ref="V98">_xll.DBR($A$5,B98,$D$1,$W$6,$W$5,"Karşılık Sonrası - YTD")</f>
        <v>7614000</v>
      </c>
      <c r="W98" s="75">
        <f t="shared" si="19"/>
        <v>0.1603624901497242</v>
      </c>
    </row>
    <row r="99" spans="2:23" s="79" customFormat="1" ht="15">
      <c r="B99" s="68" t="s">
        <v>165</v>
      </c>
      <c r="C99" s="69" cm="1">
        <f t="array" ref="C99">_xll.DBR($A$5,B99,$D$1,$D$6,$D$5,"Karşlılık Sonrası - Aylık")</f>
        <v>-24122546.493603349</v>
      </c>
      <c r="D99" s="71"/>
      <c r="E99" s="69" cm="1">
        <f t="array" ref="E99">_xll.DBR($A$6,B99,$D$1,"Departman Toplam",$G$6,$G$5,"Amount Cost")</f>
        <v>31750302.99999997</v>
      </c>
      <c r="F99" s="71">
        <f t="shared" si="10"/>
        <v>-55872849.493603319</v>
      </c>
      <c r="G99" s="72">
        <f t="shared" si="11"/>
        <v>-1.759757993289178</v>
      </c>
      <c r="H99" s="69" cm="1">
        <f t="array" ref="H99">_xll.DBR($A$6,B99,$D$1,"Departman Toplam",$J$6,$J$5,"Amount Cost")</f>
        <v>32150666.999999993</v>
      </c>
      <c r="I99" s="71">
        <f t="shared" si="12"/>
        <v>-56273213.493603341</v>
      </c>
      <c r="J99" s="72">
        <f t="shared" si="13"/>
        <v>-1.750296922101285</v>
      </c>
      <c r="K99" s="69" cm="1">
        <f t="array" ref="K99">_xll.DBR($A$5,B99,$D$1,$L$6,$L$5,"Karşlılık Sonrası - Aylık")</f>
        <v>18847815.196010035</v>
      </c>
      <c r="L99" s="72">
        <f t="shared" si="14"/>
        <v>-2.2798590310196771</v>
      </c>
      <c r="M99" s="69"/>
      <c r="N99" s="69" cm="1">
        <f t="array" ref="N99">_xll.DBR($A$5,B99,$D$1,$O$6,$O$5,"Karşılık Sonrası - YTD")</f>
        <v>206206615.64000002</v>
      </c>
      <c r="O99" s="71"/>
      <c r="P99" s="69" cm="1">
        <f t="array" ref="P99">_xll.DBR($A$6,B99,$D$1,"Departman Toplam",$R$6,$R$5&amp;"-YTD","Amount Cost")</f>
        <v>272035259.72965026</v>
      </c>
      <c r="Q99" s="71">
        <f t="shared" si="15"/>
        <v>-65828644.089650244</v>
      </c>
      <c r="R99" s="72">
        <f t="shared" si="16"/>
        <v>-0.24198570492321847</v>
      </c>
      <c r="S99" s="69" cm="1">
        <f t="array" ref="S99">_xll.DBR($A$6,B99,$D$1,"Departman Toplam",$U$6,$U$5&amp;"-YTD","Amount Cost")</f>
        <v>265833554.29490632</v>
      </c>
      <c r="T99" s="71">
        <f t="shared" si="17"/>
        <v>-59626938.654906303</v>
      </c>
      <c r="U99" s="72">
        <f t="shared" si="18"/>
        <v>-0.22430177715172214</v>
      </c>
      <c r="V99" s="69" cm="1">
        <f t="array" ref="V99">_xll.DBR($A$5,B99,$D$1,$W$6,$W$5,"Karşılık Sonrası - YTD")</f>
        <v>173002670.19607005</v>
      </c>
      <c r="W99" s="72">
        <f t="shared" si="19"/>
        <v>0.19192735815174855</v>
      </c>
    </row>
    <row r="100" spans="2:23">
      <c r="B100" s="56" t="s">
        <v>166</v>
      </c>
      <c r="C100" s="73" cm="1">
        <f t="array" ref="C100">_xll.DBR($A$5,B100,$D$1,$D$6,$D$5,"Karşlılık Sonrası - Aylık")</f>
        <v>0</v>
      </c>
      <c r="D100" s="74"/>
      <c r="E100" s="73" cm="1">
        <f t="array" ref="E100">_xll.DBR($A$6,B100,$D$1,"Departman Toplam",$G$6,$G$5,"Amount Cost")</f>
        <v>1300662</v>
      </c>
      <c r="F100" s="74">
        <f t="shared" si="10"/>
        <v>-1300662</v>
      </c>
      <c r="G100" s="75">
        <f t="shared" si="11"/>
        <v>-1</v>
      </c>
      <c r="H100" s="73" cm="1">
        <f t="array" ref="H100">_xll.DBR($A$6,B100,$D$1,"Departman Toplam",$J$6,$J$5,"Amount Cost")</f>
        <v>6300661.9999999953</v>
      </c>
      <c r="I100" s="74">
        <f t="shared" si="12"/>
        <v>-6300661.9999999953</v>
      </c>
      <c r="J100" s="75">
        <f t="shared" si="13"/>
        <v>-1</v>
      </c>
      <c r="K100" s="73" cm="1">
        <f t="array" ref="K100">_xll.DBR($A$5,B100,$D$1,$L$6,$L$5,"Karşlılık Sonrası - Aylık")</f>
        <v>3865755.7799999993</v>
      </c>
      <c r="L100" s="75">
        <f t="shared" si="14"/>
        <v>-1</v>
      </c>
      <c r="M100" s="73"/>
      <c r="N100" s="73" cm="1">
        <f t="array" ref="N100">_xll.DBR($A$5,B100,$D$1,$O$6,$O$5,"Karşılık Sonrası - YTD")</f>
        <v>21572605.350000009</v>
      </c>
      <c r="O100" s="74"/>
      <c r="P100" s="73" cm="1">
        <f t="array" ref="P100">_xll.DBR($A$6,B100,$D$1,"Departman Toplam",$R$6,$R$5&amp;"-YTD","Amount Cost")</f>
        <v>8973392.1856529601</v>
      </c>
      <c r="Q100" s="74">
        <f t="shared" si="15"/>
        <v>12599213.164347049</v>
      </c>
      <c r="R100" s="75">
        <f t="shared" si="16"/>
        <v>1.4040635808263462</v>
      </c>
      <c r="S100" s="73" cm="1">
        <f t="array" ref="S100">_xll.DBR($A$6,B100,$D$1,"Departman Toplam",$U$6,$U$5&amp;"-YTD","Amount Cost")</f>
        <v>25185427.311378788</v>
      </c>
      <c r="T100" s="74">
        <f t="shared" si="17"/>
        <v>-3612821.9613787793</v>
      </c>
      <c r="U100" s="75">
        <f t="shared" si="18"/>
        <v>-0.14344890466664842</v>
      </c>
      <c r="V100" s="73" cm="1">
        <f t="array" ref="V100">_xll.DBR($A$5,B100,$D$1,$W$6,$W$5,"Karşılık Sonrası - YTD")</f>
        <v>28495432.849999994</v>
      </c>
      <c r="W100" s="75">
        <f t="shared" si="19"/>
        <v>-0.24294516024521406</v>
      </c>
    </row>
    <row r="101" spans="2:23">
      <c r="B101" s="56" t="s">
        <v>167</v>
      </c>
      <c r="C101" s="73" cm="1">
        <f t="array" ref="C101">_xll.DBR($A$5,B101,$D$1,$D$6,$D$5,"Karşlılık Sonrası - Aylık")</f>
        <v>0</v>
      </c>
      <c r="D101" s="74"/>
      <c r="E101" s="73" cm="1">
        <f t="array" ref="E101">_xll.DBR($A$6,B101,$D$1,"Departman Toplam",$G$6,$G$5,"Amount Cost")</f>
        <v>0</v>
      </c>
      <c r="F101" s="74">
        <f t="shared" si="10"/>
        <v>0</v>
      </c>
      <c r="G101" s="75">
        <f t="shared" si="11"/>
        <v>0</v>
      </c>
      <c r="H101" s="73" cm="1">
        <f t="array" ref="H101">_xll.DBR($A$6,B101,$D$1,"Departman Toplam",$J$6,$J$5,"Amount Cost")</f>
        <v>0</v>
      </c>
      <c r="I101" s="74">
        <f t="shared" si="12"/>
        <v>0</v>
      </c>
      <c r="J101" s="75">
        <f t="shared" si="13"/>
        <v>0</v>
      </c>
      <c r="K101" s="73" cm="1">
        <f t="array" ref="K101">_xll.DBR($A$5,B101,$D$1,$L$6,$L$5,"Karşlılık Sonrası - Aylık")</f>
        <v>10701</v>
      </c>
      <c r="L101" s="75">
        <f t="shared" si="14"/>
        <v>-1</v>
      </c>
      <c r="M101" s="73"/>
      <c r="N101" s="73" cm="1">
        <f t="array" ref="N101">_xll.DBR($A$5,B101,$D$1,$O$6,$O$5,"Karşılık Sonrası - YTD")</f>
        <v>295053.00000000006</v>
      </c>
      <c r="O101" s="74"/>
      <c r="P101" s="73" cm="1">
        <f t="array" ref="P101">_xll.DBR($A$6,B101,$D$1,"Departman Toplam",$R$6,$R$5&amp;"-YTD","Amount Cost")</f>
        <v>280711.62719128188</v>
      </c>
      <c r="Q101" s="74">
        <f t="shared" si="15"/>
        <v>14341.372808718181</v>
      </c>
      <c r="R101" s="75">
        <f t="shared" si="16"/>
        <v>5.1089343723356766E-2</v>
      </c>
      <c r="S101" s="73" cm="1">
        <f t="array" ref="S101">_xll.DBR($A$6,B101,$D$1,"Departman Toplam",$U$6,$U$5&amp;"-YTD","Amount Cost")</f>
        <v>280800</v>
      </c>
      <c r="T101" s="74">
        <f t="shared" si="17"/>
        <v>14253.000000000058</v>
      </c>
      <c r="U101" s="75">
        <f t="shared" si="18"/>
        <v>5.0758547008547213E-2</v>
      </c>
      <c r="V101" s="73" cm="1">
        <f t="array" ref="V101">_xll.DBR($A$5,B101,$D$1,$W$6,$W$5,"Karşılık Sonrası - YTD")</f>
        <v>179999.74</v>
      </c>
      <c r="W101" s="75">
        <f t="shared" si="19"/>
        <v>0.63918570104601302</v>
      </c>
    </row>
    <row r="102" spans="2:23">
      <c r="B102" s="56" t="s">
        <v>168</v>
      </c>
      <c r="C102" s="73" cm="1">
        <f t="array" ref="C102">_xll.DBR($A$5,B102,$D$1,$D$6,$D$5,"Karşlılık Sonrası - Aylık")</f>
        <v>0</v>
      </c>
      <c r="D102" s="74"/>
      <c r="E102" s="73" cm="1">
        <f t="array" ref="E102">_xll.DBR($A$6,B102,$D$1,"Departman Toplam",$G$6,$G$5,"Amount Cost")</f>
        <v>0</v>
      </c>
      <c r="F102" s="74">
        <f t="shared" si="10"/>
        <v>0</v>
      </c>
      <c r="G102" s="75">
        <f t="shared" si="11"/>
        <v>0</v>
      </c>
      <c r="H102" s="73" cm="1">
        <f t="array" ref="H102">_xll.DBR($A$6,B102,$D$1,"Departman Toplam",$J$6,$J$5,"Amount Cost")</f>
        <v>0</v>
      </c>
      <c r="I102" s="74">
        <f t="shared" si="12"/>
        <v>0</v>
      </c>
      <c r="J102" s="75">
        <f t="shared" si="13"/>
        <v>0</v>
      </c>
      <c r="K102" s="73" cm="1">
        <f t="array" ref="K102">_xll.DBR($A$5,B102,$D$1,$L$6,$L$5,"Karşlılık Sonrası - Aylık")</f>
        <v>673.49</v>
      </c>
      <c r="L102" s="75">
        <f t="shared" si="14"/>
        <v>-1</v>
      </c>
      <c r="M102" s="73"/>
      <c r="N102" s="73" cm="1">
        <f t="array" ref="N102">_xll.DBR($A$5,B102,$D$1,$O$6,$O$5,"Karşılık Sonrası - YTD")</f>
        <v>66597.239999999991</v>
      </c>
      <c r="O102" s="74"/>
      <c r="P102" s="73" cm="1">
        <f t="array" ref="P102">_xll.DBR($A$6,B102,$D$1,"Departman Toplam",$R$6,$R$5&amp;"-YTD","Amount Cost")</f>
        <v>0</v>
      </c>
      <c r="Q102" s="74">
        <f t="shared" si="15"/>
        <v>66597.239999999991</v>
      </c>
      <c r="R102" s="75">
        <f t="shared" si="16"/>
        <v>0</v>
      </c>
      <c r="S102" s="73" cm="1">
        <f t="array" ref="S102">_xll.DBR($A$6,B102,$D$1,"Departman Toplam",$U$6,$U$5&amp;"-YTD","Amount Cost")</f>
        <v>23540.729999999996</v>
      </c>
      <c r="T102" s="74">
        <f t="shared" si="17"/>
        <v>43056.509999999995</v>
      </c>
      <c r="U102" s="75">
        <f t="shared" si="18"/>
        <v>1.8290218697551011</v>
      </c>
      <c r="V102" s="73" cm="1">
        <f t="array" ref="V102">_xll.DBR($A$5,B102,$D$1,$W$6,$W$5,"Karşılık Sonrası - YTD")</f>
        <v>673.49</v>
      </c>
      <c r="W102" s="75">
        <f t="shared" si="19"/>
        <v>97.883784465990558</v>
      </c>
    </row>
    <row r="103" spans="2:23">
      <c r="B103" s="56" t="s">
        <v>169</v>
      </c>
      <c r="C103" s="73" cm="1">
        <f t="array" ref="C103">_xll.DBR($A$5,B103,$D$1,$D$6,$D$5,"Karşlılık Sonrası - Aylık")</f>
        <v>-24122546.493603349</v>
      </c>
      <c r="D103" s="74"/>
      <c r="E103" s="73" cm="1">
        <f t="array" ref="E103">_xll.DBR($A$6,B103,$D$1,"Departman Toplam",$G$6,$G$5,"Amount Cost")</f>
        <v>30449640.99999997</v>
      </c>
      <c r="F103" s="74">
        <f t="shared" si="10"/>
        <v>-54572187.493603319</v>
      </c>
      <c r="G103" s="75">
        <f t="shared" si="11"/>
        <v>-1.7922111953176516</v>
      </c>
      <c r="H103" s="73" cm="1">
        <f t="array" ref="H103">_xll.DBR($A$6,B103,$D$1,"Departman Toplam",$J$6,$J$5,"Amount Cost")</f>
        <v>25850005</v>
      </c>
      <c r="I103" s="74">
        <f t="shared" si="12"/>
        <v>-49972551.493603349</v>
      </c>
      <c r="J103" s="75">
        <f t="shared" si="13"/>
        <v>-1.9331737650961132</v>
      </c>
      <c r="K103" s="73" cm="1">
        <f t="array" ref="K103">_xll.DBR($A$5,B103,$D$1,$L$6,$L$5,"Karşlılık Sonrası - Aylık")</f>
        <v>14970684.926010037</v>
      </c>
      <c r="L103" s="75">
        <f t="shared" si="14"/>
        <v>-2.611318828285063</v>
      </c>
      <c r="M103" s="73"/>
      <c r="N103" s="73" cm="1">
        <f t="array" ref="N103">_xll.DBR($A$5,B103,$D$1,$O$6,$O$5,"Karşılık Sonrası - YTD")</f>
        <v>184272360.05000001</v>
      </c>
      <c r="O103" s="74"/>
      <c r="P103" s="73" cm="1">
        <f t="array" ref="P103">_xll.DBR($A$6,B103,$D$1,"Departman Toplam",$R$6,$R$5&amp;"-YTD","Amount Cost")</f>
        <v>262781155.91680604</v>
      </c>
      <c r="Q103" s="74">
        <f t="shared" si="15"/>
        <v>-78508795.86680603</v>
      </c>
      <c r="R103" s="75">
        <f t="shared" si="16"/>
        <v>-0.2987611329773629</v>
      </c>
      <c r="S103" s="73" cm="1">
        <f t="array" ref="S103">_xll.DBR($A$6,B103,$D$1,"Departman Toplam",$U$6,$U$5&amp;"-YTD","Amount Cost")</f>
        <v>240343786.25352752</v>
      </c>
      <c r="T103" s="74">
        <f t="shared" si="17"/>
        <v>-56071426.20352751</v>
      </c>
      <c r="U103" s="75">
        <f t="shared" si="18"/>
        <v>-0.23329675827100585</v>
      </c>
      <c r="V103" s="73" cm="1">
        <f t="array" ref="V103">_xll.DBR($A$5,B103,$D$1,$W$6,$W$5,"Karşılık Sonrası - YTD")</f>
        <v>144326564.11607006</v>
      </c>
      <c r="W103" s="75">
        <f t="shared" si="19"/>
        <v>0.27677369151395309</v>
      </c>
    </row>
    <row r="104" spans="2:23">
      <c r="B104" s="56" t="s">
        <v>170</v>
      </c>
      <c r="C104" s="73" cm="1">
        <f t="array" ref="C104">_xll.DBR($A$5,B104,$D$1,$D$6,$D$5,"Karşlılık Sonrası - Aylık")</f>
        <v>0</v>
      </c>
      <c r="D104" s="74"/>
      <c r="E104" s="73" cm="1">
        <f t="array" ref="E104">_xll.DBR($A$6,B104,$D$1,"Departman Toplam",$G$6,$G$5,"Amount Cost")</f>
        <v>21759138.970083334</v>
      </c>
      <c r="F104" s="74">
        <f t="shared" si="10"/>
        <v>-21759138.970083334</v>
      </c>
      <c r="G104" s="75">
        <f t="shared" si="11"/>
        <v>-1</v>
      </c>
      <c r="H104" s="73" cm="1">
        <f t="array" ref="H104">_xll.DBR($A$6,B104,$D$1,"Departman Toplam",$J$6,$J$5,"Amount Cost")</f>
        <v>13990167.919993332</v>
      </c>
      <c r="I104" s="74">
        <f t="shared" si="12"/>
        <v>-13990167.919993332</v>
      </c>
      <c r="J104" s="75">
        <f t="shared" si="13"/>
        <v>-1</v>
      </c>
      <c r="K104" s="73" cm="1">
        <f t="array" ref="K104">_xll.DBR($A$5,B104,$D$1,$L$6,$L$5,"Karşlılık Sonrası - Aylık")</f>
        <v>6519487.7694400046</v>
      </c>
      <c r="L104" s="75">
        <f t="shared" si="14"/>
        <v>-1</v>
      </c>
      <c r="M104" s="73"/>
      <c r="N104" s="73" cm="1">
        <f t="array" ref="N104">_xll.DBR($A$5,B104,$D$1,$O$6,$O$5,"Karşılık Sonrası - YTD")</f>
        <v>133935948.35999991</v>
      </c>
      <c r="O104" s="74"/>
      <c r="P104" s="73" cm="1">
        <f t="array" ref="P104">_xll.DBR($A$6,B104,$D$1,"Departman Toplam",$R$6,$R$5&amp;"-YTD","Amount Cost")</f>
        <v>181377985.48798665</v>
      </c>
      <c r="Q104" s="74">
        <f t="shared" si="15"/>
        <v>-47442037.127986744</v>
      </c>
      <c r="R104" s="75">
        <f t="shared" si="16"/>
        <v>-0.26156447266930866</v>
      </c>
      <c r="S104" s="73" cm="1">
        <f t="array" ref="S104">_xll.DBR($A$6,B104,$D$1,"Departman Toplam",$U$6,$U$5&amp;"-YTD","Amount Cost")</f>
        <v>151958259.30444679</v>
      </c>
      <c r="T104" s="74">
        <f t="shared" si="17"/>
        <v>-18022310.944446877</v>
      </c>
      <c r="U104" s="75">
        <f t="shared" si="18"/>
        <v>-0.11860040399870181</v>
      </c>
      <c r="V104" s="73" cm="1">
        <f t="array" ref="V104">_xll.DBR($A$5,B104,$D$1,$W$6,$W$5,"Karşılık Sonrası - YTD")</f>
        <v>127296882.00000007</v>
      </c>
      <c r="W104" s="75">
        <f t="shared" si="19"/>
        <v>5.2154194632982695E-2</v>
      </c>
    </row>
    <row r="105" spans="2:23">
      <c r="B105" s="56" t="s">
        <v>171</v>
      </c>
      <c r="C105" s="73" cm="1">
        <f t="array" ref="C105">_xll.DBR($A$5,B105,$D$1,$D$6,$D$5,"Karşlılık Sonrası - Aylık")</f>
        <v>0</v>
      </c>
      <c r="D105" s="74"/>
      <c r="E105" s="73" cm="1">
        <f t="array" ref="E105">_xll.DBR($A$6,B105,$D$1,"Departman Toplam",$G$6,$G$5,"Amount Cost")</f>
        <v>0</v>
      </c>
      <c r="F105" s="74">
        <f t="shared" si="10"/>
        <v>0</v>
      </c>
      <c r="G105" s="75">
        <f t="shared" si="11"/>
        <v>0</v>
      </c>
      <c r="H105" s="73" cm="1">
        <f t="array" ref="H105">_xll.DBR($A$6,B105,$D$1,"Departman Toplam",$J$6,$J$5,"Amount Cost")</f>
        <v>1924414.078125</v>
      </c>
      <c r="I105" s="74">
        <f t="shared" si="12"/>
        <v>-1924414.078125</v>
      </c>
      <c r="J105" s="75">
        <f t="shared" si="13"/>
        <v>-1</v>
      </c>
      <c r="K105" s="73" cm="1">
        <f t="array" ref="K105">_xll.DBR($A$5,B105,$D$1,$L$6,$L$5,"Karşlılık Sonrası - Aylık")</f>
        <v>16623435.41</v>
      </c>
      <c r="L105" s="75">
        <f t="shared" si="14"/>
        <v>-1</v>
      </c>
      <c r="M105" s="73"/>
      <c r="N105" s="73" cm="1">
        <f t="array" ref="N105">_xll.DBR($A$5,B105,$D$1,$O$6,$O$5,"Karşılık Sonrası - YTD")</f>
        <v>20333202.219999999</v>
      </c>
      <c r="O105" s="74"/>
      <c r="P105" s="73" cm="1">
        <f t="array" ref="P105">_xll.DBR($A$6,B105,$D$1,"Departman Toplam",$R$6,$R$5&amp;"-YTD","Amount Cost")</f>
        <v>14175000</v>
      </c>
      <c r="Q105" s="74">
        <f t="shared" si="15"/>
        <v>6158202.2199999988</v>
      </c>
      <c r="R105" s="75">
        <f t="shared" si="16"/>
        <v>0.43444107372134028</v>
      </c>
      <c r="S105" s="73" cm="1">
        <f t="array" ref="S105">_xll.DBR($A$6,B105,$D$1,"Departman Toplam",$U$6,$U$5&amp;"-YTD","Amount Cost")</f>
        <v>22361727.2925</v>
      </c>
      <c r="T105" s="74">
        <f t="shared" si="17"/>
        <v>-2028525.0725000016</v>
      </c>
      <c r="U105" s="75">
        <f t="shared" si="18"/>
        <v>-9.0714149491500043E-2</v>
      </c>
      <c r="V105" s="73" cm="1">
        <f t="array" ref="V105">_xll.DBR($A$5,B105,$D$1,$W$6,$W$5,"Karşılık Sonrası - YTD")</f>
        <v>104740862.72</v>
      </c>
      <c r="W105" s="75">
        <f t="shared" si="19"/>
        <v>-0.80587135056968151</v>
      </c>
    </row>
    <row r="106" spans="2:23">
      <c r="B106" s="56" t="s">
        <v>172</v>
      </c>
      <c r="C106" s="73" cm="1">
        <f t="array" ref="C106">_xll.DBR($A$5,B106,$D$1,$D$6,$D$5,"Karşlılık Sonrası - Aylık")</f>
        <v>0</v>
      </c>
      <c r="D106" s="74"/>
      <c r="E106" s="73" cm="1">
        <f t="array" ref="E106">_xll.DBR($A$6,B106,$D$1,"Departman Toplam",$G$6,$G$5,"Amount Cost")</f>
        <v>0</v>
      </c>
      <c r="F106" s="74">
        <f t="shared" si="10"/>
        <v>0</v>
      </c>
      <c r="G106" s="75">
        <f t="shared" si="11"/>
        <v>0</v>
      </c>
      <c r="H106" s="73" cm="1">
        <f t="array" ref="H106">_xll.DBR($A$6,B106,$D$1,"Departman Toplam",$J$6,$J$5,"Amount Cost")</f>
        <v>0</v>
      </c>
      <c r="I106" s="74">
        <f t="shared" si="12"/>
        <v>0</v>
      </c>
      <c r="J106" s="75">
        <f t="shared" si="13"/>
        <v>0</v>
      </c>
      <c r="K106" s="73" cm="1">
        <f t="array" ref="K106">_xll.DBR($A$5,B106,$D$1,$L$6,$L$5,"Karşlılık Sonrası - Aylık")</f>
        <v>0</v>
      </c>
      <c r="L106" s="75">
        <f t="shared" si="14"/>
        <v>0</v>
      </c>
      <c r="M106" s="73"/>
      <c r="N106" s="73" cm="1">
        <f t="array" ref="N106">_xll.DBR($A$5,B106,$D$1,$O$6,$O$5,"Karşılık Sonrası - YTD")</f>
        <v>0</v>
      </c>
      <c r="O106" s="74"/>
      <c r="P106" s="73" cm="1">
        <f t="array" ref="P106">_xll.DBR($A$6,B106,$D$1,"Departman Toplam",$R$6,$R$5&amp;"-YTD","Amount Cost")</f>
        <v>0</v>
      </c>
      <c r="Q106" s="74">
        <f t="shared" si="15"/>
        <v>0</v>
      </c>
      <c r="R106" s="75">
        <f t="shared" si="16"/>
        <v>0</v>
      </c>
      <c r="S106" s="73" cm="1">
        <f t="array" ref="S106">_xll.DBR($A$6,B106,$D$1,"Departman Toplam",$U$6,$U$5&amp;"-YTD","Amount Cost")</f>
        <v>0</v>
      </c>
      <c r="T106" s="74">
        <f t="shared" si="17"/>
        <v>0</v>
      </c>
      <c r="U106" s="75">
        <f t="shared" si="18"/>
        <v>0</v>
      </c>
      <c r="V106" s="73" cm="1">
        <f t="array" ref="V106">_xll.DBR($A$5,B106,$D$1,$W$6,$W$5,"Karşılık Sonrası - YTD")</f>
        <v>0</v>
      </c>
      <c r="W106" s="75">
        <f t="shared" si="19"/>
        <v>0</v>
      </c>
    </row>
    <row r="107" spans="2:23">
      <c r="B107" s="56" t="s">
        <v>173</v>
      </c>
      <c r="C107" s="73" cm="1">
        <f t="array" ref="C107">_xll.DBR($A$5,B107,$D$1,$D$6,$D$5,"Karşlılık Sonrası - Aylık")</f>
        <v>0</v>
      </c>
      <c r="D107" s="74"/>
      <c r="E107" s="73" cm="1">
        <f t="array" ref="E107">_xll.DBR($A$6,B107,$D$1,"Departman Toplam",$G$6,$G$5,"Amount Cost")</f>
        <v>0</v>
      </c>
      <c r="F107" s="74">
        <f t="shared" si="10"/>
        <v>0</v>
      </c>
      <c r="G107" s="75">
        <f t="shared" si="11"/>
        <v>0</v>
      </c>
      <c r="H107" s="73" cm="1">
        <f t="array" ref="H107">_xll.DBR($A$6,B107,$D$1,"Departman Toplam",$J$6,$J$5,"Amount Cost")</f>
        <v>0</v>
      </c>
      <c r="I107" s="74">
        <f t="shared" si="12"/>
        <v>0</v>
      </c>
      <c r="J107" s="75">
        <f t="shared" si="13"/>
        <v>0</v>
      </c>
      <c r="K107" s="73" cm="1">
        <f t="array" ref="K107">_xll.DBR($A$5,B107,$D$1,$L$6,$L$5,"Karşlılık Sonrası - Aylık")</f>
        <v>830764.76428571413</v>
      </c>
      <c r="L107" s="75">
        <f t="shared" si="14"/>
        <v>-1</v>
      </c>
      <c r="M107" s="73"/>
      <c r="N107" s="73" cm="1">
        <f t="array" ref="N107">_xll.DBR($A$5,B107,$D$1,$O$6,$O$5,"Karşılık Sonrası - YTD")</f>
        <v>33199788.57</v>
      </c>
      <c r="O107" s="74"/>
      <c r="P107" s="73" cm="1">
        <f t="array" ref="P107">_xll.DBR($A$6,B107,$D$1,"Departman Toplam",$R$6,$R$5&amp;"-YTD","Amount Cost")</f>
        <v>0</v>
      </c>
      <c r="Q107" s="74">
        <f t="shared" si="15"/>
        <v>33199788.57</v>
      </c>
      <c r="R107" s="75">
        <f t="shared" si="16"/>
        <v>0</v>
      </c>
      <c r="S107" s="73" cm="1">
        <f t="array" ref="S107">_xll.DBR($A$6,B107,$D$1,"Departman Toplam",$U$6,$U$5&amp;"-YTD","Amount Cost")</f>
        <v>30830895.57</v>
      </c>
      <c r="T107" s="74">
        <f t="shared" si="17"/>
        <v>2368893</v>
      </c>
      <c r="U107" s="75">
        <f t="shared" si="18"/>
        <v>7.6835036939538373E-2</v>
      </c>
      <c r="V107" s="73" cm="1">
        <f t="array" ref="V107">_xll.DBR($A$5,B107,$D$1,$W$6,$W$5,"Karşılık Sonrası - YTD")</f>
        <v>5966226.0642857151</v>
      </c>
      <c r="W107" s="75">
        <f t="shared" si="19"/>
        <v>4.564621288612658</v>
      </c>
    </row>
    <row r="108" spans="2:23">
      <c r="B108" s="56" t="s">
        <v>174</v>
      </c>
      <c r="C108" s="73" cm="1">
        <f t="array" ref="C108">_xll.DBR($A$5,B108,$D$1,$D$6,$D$5,"Karşlılık Sonrası - Aylık")</f>
        <v>0</v>
      </c>
      <c r="D108" s="74"/>
      <c r="E108" s="73" cm="1">
        <f t="array" ref="E108">_xll.DBR($A$6,B108,$D$1,"Departman Toplam",$G$6,$G$5,"Amount Cost")</f>
        <v>0</v>
      </c>
      <c r="F108" s="74">
        <f t="shared" si="10"/>
        <v>0</v>
      </c>
      <c r="G108" s="75">
        <f t="shared" si="11"/>
        <v>0</v>
      </c>
      <c r="H108" s="73" cm="1">
        <f t="array" ref="H108">_xll.DBR($A$6,B108,$D$1,"Departman Toplam",$J$6,$J$5,"Amount Cost")</f>
        <v>16376930</v>
      </c>
      <c r="I108" s="74">
        <f t="shared" si="12"/>
        <v>-16376930</v>
      </c>
      <c r="J108" s="75">
        <f t="shared" si="13"/>
        <v>-1</v>
      </c>
      <c r="K108" s="73" cm="1">
        <f t="array" ref="K108">_xll.DBR($A$5,B108,$D$1,$L$6,$L$5,"Karşlılık Sonrası - Aylık")</f>
        <v>6041318.2971428577</v>
      </c>
      <c r="L108" s="75">
        <f t="shared" si="14"/>
        <v>-1</v>
      </c>
      <c r="M108" s="73"/>
      <c r="N108" s="73" cm="1">
        <f t="array" ref="N108">_xll.DBR($A$5,B108,$D$1,$O$6,$O$5,"Karşılık Sonrası - YTD")</f>
        <v>119878112.34999993</v>
      </c>
      <c r="O108" s="74"/>
      <c r="P108" s="73" cm="1">
        <f t="array" ref="P108">_xll.DBR($A$6,B108,$D$1,"Departman Toplam",$R$6,$R$5&amp;"-YTD","Amount Cost")</f>
        <v>0</v>
      </c>
      <c r="Q108" s="74">
        <f t="shared" si="15"/>
        <v>119878112.34999993</v>
      </c>
      <c r="R108" s="75">
        <f t="shared" si="16"/>
        <v>0</v>
      </c>
      <c r="S108" s="73" cm="1">
        <f t="array" ref="S108">_xll.DBR($A$6,B108,$D$1,"Departman Toplam",$U$6,$U$5&amp;"-YTD","Amount Cost")</f>
        <v>148145190.83999997</v>
      </c>
      <c r="T108" s="74">
        <f t="shared" si="17"/>
        <v>-28267078.490000039</v>
      </c>
      <c r="U108" s="75">
        <f t="shared" si="18"/>
        <v>-0.19080658865618594</v>
      </c>
      <c r="V108" s="73" cm="1">
        <f t="array" ref="V108">_xll.DBR($A$5,B108,$D$1,$W$6,$W$5,"Karşılık Sonrası - YTD")</f>
        <v>32273044.997142855</v>
      </c>
      <c r="W108" s="75">
        <f t="shared" si="19"/>
        <v>2.7144964895817174</v>
      </c>
    </row>
    <row r="109" spans="2:23">
      <c r="B109" s="56" t="s">
        <v>175</v>
      </c>
      <c r="C109" s="73" cm="1">
        <f t="array" ref="C109">_xll.DBR($A$5,B109,$D$1,$D$6,$D$5,"Karşlılık Sonrası - Aylık")</f>
        <v>0</v>
      </c>
      <c r="D109" s="74"/>
      <c r="E109" s="73" cm="1">
        <f t="array" ref="E109">_xll.DBR($A$6,B109,$D$1,"Departman Toplam",$G$6,$G$5,"Amount Cost")</f>
        <v>9.6827186644077301E-3</v>
      </c>
      <c r="F109" s="74">
        <f t="shared" si="10"/>
        <v>-9.6827186644077301E-3</v>
      </c>
      <c r="G109" s="75">
        <f t="shared" si="11"/>
        <v>-1</v>
      </c>
      <c r="H109" s="73" cm="1">
        <f t="array" ref="H109">_xll.DBR($A$6,B109,$D$1,"Departman Toplam",$J$6,$J$5,"Amount Cost")</f>
        <v>65397086.380276769</v>
      </c>
      <c r="I109" s="74">
        <f t="shared" si="12"/>
        <v>-65397086.380276769</v>
      </c>
      <c r="J109" s="75">
        <f t="shared" si="13"/>
        <v>-1</v>
      </c>
      <c r="K109" s="73" cm="1">
        <f t="array" ref="K109">_xll.DBR($A$5,B109,$D$1,$L$6,$L$5,"Karşlılık Sonrası - Aylık")</f>
        <v>23955976.144690223</v>
      </c>
      <c r="L109" s="75">
        <f t="shared" si="14"/>
        <v>-1</v>
      </c>
      <c r="M109" s="73"/>
      <c r="N109" s="73" cm="1">
        <f t="array" ref="N109">_xll.DBR($A$5,B109,$D$1,$O$6,$O$5,"Karşılık Sonrası - YTD")</f>
        <v>560644837.37000024</v>
      </c>
      <c r="O109" s="74"/>
      <c r="P109" s="73" cm="1">
        <f t="array" ref="P109">_xll.DBR($A$6,B109,$D$1,"Departman Toplam",$R$6,$R$5&amp;"-YTD","Amount Cost")</f>
        <v>163379339.01468086</v>
      </c>
      <c r="Q109" s="74">
        <f t="shared" si="15"/>
        <v>397265498.35531938</v>
      </c>
      <c r="R109" s="75">
        <f t="shared" si="16"/>
        <v>2.4315528557721859</v>
      </c>
      <c r="S109" s="73" cm="1">
        <f t="array" ref="S109">_xll.DBR($A$6,B109,$D$1,"Departman Toplam",$U$6,$U$5&amp;"-YTD","Amount Cost")</f>
        <v>636550051.11915064</v>
      </c>
      <c r="T109" s="74">
        <f t="shared" si="17"/>
        <v>-75905213.749150395</v>
      </c>
      <c r="U109" s="75">
        <f t="shared" si="18"/>
        <v>-0.11924469036754867</v>
      </c>
      <c r="V109" s="73" cm="1">
        <f t="array" ref="V109">_xll.DBR($A$5,B109,$D$1,$W$6,$W$5,"Karşılık Sonrası - YTD")</f>
        <v>195402768.36469027</v>
      </c>
      <c r="W109" s="75">
        <f t="shared" si="19"/>
        <v>1.8691755089346525</v>
      </c>
    </row>
    <row r="110" spans="2:23" s="79" customFormat="1" ht="15.75" thickBot="1">
      <c r="B110" s="68" t="s">
        <v>180</v>
      </c>
      <c r="C110" s="76" cm="1">
        <f t="array" ref="C110">_xll.DBR($A$5,B110,$D$1,$D$6,$D$5,"Karşlılık Sonrası - Aylık")</f>
        <v>228872750.81646666</v>
      </c>
      <c r="D110" s="78"/>
      <c r="E110" s="76" cm="1">
        <f t="array" ref="E110">_xll.DBR($A$6,B110,$D$1,"Departman Toplam",$G$6,$G$5,"Amount Cost")</f>
        <v>521152593.4017365</v>
      </c>
      <c r="F110" s="78">
        <f t="shared" si="10"/>
        <v>-292279842.58526981</v>
      </c>
      <c r="G110" s="77">
        <f t="shared" si="11"/>
        <v>-0.56083351840861417</v>
      </c>
      <c r="H110" s="76" cm="1">
        <f t="array" ref="H110">_xll.DBR($A$6,B110,$D$1,"Departman Toplam",$J$6,$J$5,"Amount Cost")</f>
        <v>533397011.18310863</v>
      </c>
      <c r="I110" s="78">
        <f t="shared" si="12"/>
        <v>-304524260.366642</v>
      </c>
      <c r="J110" s="77">
        <f t="shared" si="13"/>
        <v>-0.57091482325929754</v>
      </c>
      <c r="K110" s="76" cm="1">
        <f t="array" ref="K110">_xll.DBR($A$5,B110,$D$1,$L$6,$L$5,"Karşlılık Sonrası - Aylık")</f>
        <v>394723735.00678933</v>
      </c>
      <c r="L110" s="77">
        <f t="shared" si="14"/>
        <v>-0.42016977820568607</v>
      </c>
      <c r="M110" s="76"/>
      <c r="N110" s="76" cm="1">
        <f t="array" ref="N110">_xll.DBR($A$5,B110,$D$1,$O$6,$O$5,"Karşılık Sonrası - YTD")</f>
        <v>5477213067.1800041</v>
      </c>
      <c r="O110" s="78"/>
      <c r="P110" s="76" cm="1">
        <f t="array" ref="P110">_xll.DBR($A$6,B110,$D$1,"Departman Toplam",$R$6,$R$5&amp;"-YTD","Amount Cost")</f>
        <v>5392698582.8751202</v>
      </c>
      <c r="Q110" s="78">
        <f t="shared" si="15"/>
        <v>84514484.304883957</v>
      </c>
      <c r="R110" s="77">
        <f t="shared" si="16"/>
        <v>1.5672020789974324E-2</v>
      </c>
      <c r="S110" s="76" cm="1">
        <f t="array" ref="S110">_xll.DBR($A$6,B110,$D$1,"Departman Toplam",$U$6,$U$5&amp;"-YTD","Amount Cost")</f>
        <v>5765480080.1319065</v>
      </c>
      <c r="T110" s="78">
        <f t="shared" si="17"/>
        <v>-288267012.95190239</v>
      </c>
      <c r="U110" s="77">
        <f t="shared" si="18"/>
        <v>-4.9998787428870491E-2</v>
      </c>
      <c r="V110" s="76" cm="1">
        <f t="array" ref="V110">_xll.DBR($A$5,B110,$D$1,$W$6,$W$5,"Karşılık Sonrası - YTD")</f>
        <v>3513311652.692719</v>
      </c>
      <c r="W110" s="77">
        <f t="shared" si="19"/>
        <v>0.55898867183675149</v>
      </c>
    </row>
  </sheetData>
  <mergeCells count="8">
    <mergeCell ref="C8:D8"/>
    <mergeCell ref="E8:G8"/>
    <mergeCell ref="H8:J8"/>
    <mergeCell ref="V8:W8"/>
    <mergeCell ref="K8:L8"/>
    <mergeCell ref="N8:O8"/>
    <mergeCell ref="P8:R8"/>
    <mergeCell ref="S8:U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PL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Batur Alp KARACA</dc:creator>
  <cp:lastModifiedBy>Mustafa Batur Alp KARACA</cp:lastModifiedBy>
  <dcterms:created xsi:type="dcterms:W3CDTF">2024-07-19T06:27:56Z</dcterms:created>
  <dcterms:modified xsi:type="dcterms:W3CDTF">2024-11-26T10:37:00Z</dcterms:modified>
</cp:coreProperties>
</file>