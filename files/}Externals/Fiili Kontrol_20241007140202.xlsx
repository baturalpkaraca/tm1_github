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eteamanalytics-my.sharepoint.com/personal/mkaraca_ereteam_com/Documents/KOÇTAŞ/Websheets/"/>
    </mc:Choice>
  </mc:AlternateContent>
  <xr:revisionPtr revIDLastSave="0" documentId="8_{C8D7A8B0-C767-4C91-88EF-DBA8779B45F4}" xr6:coauthVersionLast="47" xr6:coauthVersionMax="47" xr10:uidLastSave="{00000000-0000-0000-0000-000000000000}"/>
  <bookViews>
    <workbookView xWindow="-120" yWindow="-120" windowWidth="29040" windowHeight="15840" firstSheet="1" activeTab="1" xr2:uid="{5AD793B8-B26B-4235-A8B8-AF6438966802}"/>
  </bookViews>
  <sheets>
    <sheet name="Cognos_Office_Connection_Cache" sheetId="2" state="veryHidden" r:id="rId1"/>
    <sheet name="Fiili Kontrol" sheetId="5" r:id="rId2"/>
  </sheets>
  <definedNames>
    <definedName name="cafe_validation_temp" hidden="1">Cognos_Office_Connection_Cache!$B$2</definedName>
    <definedName name="ID" localSheetId="0" hidden="1">"5c51c0f5-427e-4eff-8b5d-f32518e5c3f1"</definedName>
    <definedName name="ID" localSheetId="1" hidden="1">"4f9db630-0c9c-4771-bc69-82ab199a8b86"</definedName>
    <definedName name="TM1RPTDATARNG17335382" localSheetId="1">'Fiili Kontrol'!$21:$22</definedName>
    <definedName name="TM1RPTFMTIDCOL17335382" localSheetId="1">'Fiili Kontrol'!$A$1:$A$10</definedName>
    <definedName name="TM1RPTFMTRNG17335382" localSheetId="1">'Fiili Kontrol'!$B$1:$C$10</definedName>
    <definedName name="TM1RPTQRYRNG17335382" localSheetId="1">'Fiili Kontrol'!$B$11</definedName>
    <definedName name="TM1RPTVIEWRNG17335382" localSheetId="1">'Fiili Kontrol'!$B$12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7" i="5"/>
  <c r="A22" i="5"/>
  <c r="A21" i="5"/>
  <c r="C15" i="5" l="1"/>
  <c r="C21" i="5"/>
  <c r="B12" i="5"/>
  <c r="D21" i="5"/>
  <c r="B20" i="5"/>
  <c r="C20" i="5" s="1"/>
  <c r="D20" i="5"/>
  <c r="E21" i="5" l="1"/>
  <c r="E20" i="5"/>
</calcChain>
</file>

<file path=xl/sharedStrings.xml><?xml version="1.0" encoding="utf-8"?>
<sst xmlns="http://schemas.openxmlformats.org/spreadsheetml/2006/main" count="26" uniqueCount="18">
  <si>
    <t>Period</t>
  </si>
  <si>
    <t>Version_Actual</t>
  </si>
  <si>
    <t>Net - YTD</t>
  </si>
  <si>
    <t>8</t>
  </si>
  <si>
    <t>tm1:Fiili</t>
  </si>
  <si>
    <t>Tutar Nihai</t>
  </si>
  <si>
    <t>Mizan</t>
  </si>
  <si>
    <t>KE80-KSB1</t>
  </si>
  <si>
    <t>Fark</t>
  </si>
  <si>
    <t>[Begin Format Range]</t>
  </si>
  <si>
    <t>Default</t>
  </si>
  <si>
    <t>Leaf</t>
  </si>
  <si>
    <t>[End Format Range]</t>
  </si>
  <si>
    <t>Öğe Adı</t>
  </si>
  <si>
    <t>{{[Mizan_Hesapları].[Mizan_Hesapları].[6],[Mizan_Hesapları].[Mizan_Hesapları].[8]}}</t>
  </si>
  <si>
    <t>Period - YTD</t>
  </si>
  <si>
    <t>[Fiili Kontrol.xlsx]Fiili Kontrol'!C16</t>
  </si>
  <si>
    <t>2024-09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</si>
</sst>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\+\ 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16"/>
      <color theme="1"/>
      <name val="Aptos Narrow"/>
      <family val="2"/>
      <scheme val="minor"/>
    </font>
    <font>
      <b/>
      <sz val="16"/>
      <color theme="1" tint="0.24994659260841701"/>
      <name val="Calibri"/>
      <family val="2"/>
    </font>
    <font>
      <b/>
      <sz val="16"/>
      <color rgb="FF165D81"/>
      <name val="Calibri"/>
      <family val="2"/>
    </font>
    <font>
      <b/>
      <sz val="16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Protection="0">
      <alignment horizontal="center" vertical="center"/>
    </xf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>
      <alignment horizontal="right" vertical="center"/>
    </xf>
    <xf numFmtId="3" fontId="3" fillId="2" borderId="2">
      <alignment horizontal="center" vertical="center"/>
    </xf>
    <xf numFmtId="0" fontId="3" fillId="2" borderId="2">
      <alignment horizontal="right" vertical="center"/>
    </xf>
    <xf numFmtId="0" fontId="2" fillId="0" borderId="3">
      <alignment horizontal="left" vertical="center"/>
    </xf>
    <xf numFmtId="0" fontId="2" fillId="0" borderId="4">
      <alignment horizontal="center" vertical="center"/>
    </xf>
    <xf numFmtId="0" fontId="4" fillId="0" borderId="5">
      <alignment horizontal="center" vertical="center"/>
    </xf>
    <xf numFmtId="0" fontId="3" fillId="3" borderId="2"/>
    <xf numFmtId="3" fontId="2" fillId="0" borderId="1" applyFill="0" applyAlignment="0" applyProtection="0"/>
    <xf numFmtId="3" fontId="2" fillId="0" borderId="1" applyFill="0" applyAlignment="0" applyProtection="0"/>
    <xf numFmtId="3" fontId="2" fillId="0" borderId="1" applyFill="0" applyAlignment="0" applyProtection="0"/>
    <xf numFmtId="3" fontId="2" fillId="0" borderId="1" applyFill="0" applyAlignment="0" applyProtection="0"/>
    <xf numFmtId="0" fontId="2" fillId="0" borderId="1" applyFill="0" applyAlignment="0" applyProtection="0"/>
    <xf numFmtId="3" fontId="2" fillId="0" borderId="1" applyFill="0" applyAlignment="0" applyProtection="0"/>
    <xf numFmtId="0" fontId="2" fillId="0" borderId="4">
      <alignment horizontal="center" vertical="center"/>
    </xf>
    <xf numFmtId="0" fontId="2" fillId="0" borderId="4">
      <alignment horizontal="center" vertical="center"/>
    </xf>
    <xf numFmtId="3" fontId="3" fillId="0" borderId="2" applyFont="0" applyFill="0" applyAlignment="0" applyProtection="0"/>
    <xf numFmtId="0" fontId="3" fillId="0" borderId="2" applyFill="0" applyAlignment="0" applyProtection="0"/>
    <xf numFmtId="0" fontId="2" fillId="0" borderId="1" applyFill="0" applyAlignment="0" applyProtection="0"/>
    <xf numFmtId="3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3">
      <alignment horizontal="left" vertical="center"/>
    </xf>
    <xf numFmtId="3" fontId="2" fillId="0" borderId="1" applyFill="0" applyAlignment="0" applyProtection="0"/>
    <xf numFmtId="3" fontId="5" fillId="0" borderId="2"/>
    <xf numFmtId="3" fontId="6" fillId="0" borderId="2"/>
    <xf numFmtId="0" fontId="2" fillId="0" borderId="4">
      <alignment horizontal="left" vertical="top"/>
    </xf>
    <xf numFmtId="0" fontId="7" fillId="0" borderId="2"/>
    <xf numFmtId="0" fontId="2" fillId="0" borderId="4">
      <alignment horizontal="left" vertical="center"/>
    </xf>
    <xf numFmtId="0" fontId="3" fillId="2" borderId="6"/>
    <xf numFmtId="3" fontId="3" fillId="0" borderId="2">
      <alignment horizontal="right" vertical="center"/>
    </xf>
    <xf numFmtId="0" fontId="2" fillId="0" borderId="4">
      <alignment horizontal="right" vertical="center"/>
    </xf>
    <xf numFmtId="0" fontId="3" fillId="0" borderId="5">
      <alignment horizontal="center" vertical="center"/>
    </xf>
    <xf numFmtId="3" fontId="3" fillId="0" borderId="2"/>
    <xf numFmtId="3" fontId="3" fillId="0" borderId="2"/>
    <xf numFmtId="0" fontId="3" fillId="0" borderId="5">
      <alignment horizontal="center" vertical="center" wrapText="1"/>
    </xf>
    <xf numFmtId="0" fontId="8" fillId="0" borderId="5">
      <alignment horizontal="left" vertical="center" indent="1"/>
    </xf>
    <xf numFmtId="0" fontId="9" fillId="0" borderId="2"/>
    <xf numFmtId="0" fontId="2" fillId="0" borderId="3">
      <alignment horizontal="left" vertical="center"/>
    </xf>
    <xf numFmtId="3" fontId="3" fillId="0" borderId="2">
      <alignment horizontal="center" vertical="center"/>
    </xf>
    <xf numFmtId="0" fontId="2" fillId="0" borderId="4">
      <alignment horizontal="center" vertical="center"/>
    </xf>
    <xf numFmtId="0" fontId="2" fillId="0" borderId="4">
      <alignment horizontal="center" vertical="center"/>
    </xf>
    <xf numFmtId="0" fontId="2" fillId="0" borderId="3">
      <alignment horizontal="left" vertical="center"/>
    </xf>
    <xf numFmtId="0" fontId="2" fillId="0" borderId="3">
      <alignment horizontal="left" vertical="center"/>
    </xf>
    <xf numFmtId="0" fontId="10" fillId="0" borderId="2"/>
  </cellStyleXfs>
  <cellXfs count="34">
    <xf numFmtId="0" fontId="0" fillId="0" borderId="0" xfId="0"/>
    <xf numFmtId="0" fontId="11" fillId="0" borderId="0" xfId="0" quotePrefix="1" applyFont="1"/>
    <xf numFmtId="0" fontId="11" fillId="0" borderId="0" xfId="0" applyFont="1"/>
    <xf numFmtId="164" fontId="11" fillId="0" borderId="0" xfId="1" applyFont="1"/>
    <xf numFmtId="0" fontId="12" fillId="0" borderId="0" xfId="20" applyNumberFormat="1" applyFont="1"/>
    <xf numFmtId="0" fontId="13" fillId="0" borderId="1" xfId="12" applyNumberFormat="1" applyFont="1"/>
    <xf numFmtId="164" fontId="12" fillId="0" borderId="2" xfId="1" applyFont="1" applyBorder="1"/>
    <xf numFmtId="164" fontId="12" fillId="0" borderId="0" xfId="1" applyFont="1"/>
    <xf numFmtId="0" fontId="12" fillId="0" borderId="0" xfId="21" applyNumberFormat="1" applyFont="1"/>
    <xf numFmtId="0" fontId="13" fillId="0" borderId="1" xfId="13" applyNumberFormat="1" applyFont="1"/>
    <xf numFmtId="0" fontId="12" fillId="0" borderId="0" xfId="22" applyNumberFormat="1" applyFont="1"/>
    <xf numFmtId="0" fontId="13" fillId="0" borderId="1" xfId="14" applyNumberFormat="1" applyFont="1"/>
    <xf numFmtId="0" fontId="12" fillId="0" borderId="0" xfId="23" applyNumberFormat="1" applyFont="1"/>
    <xf numFmtId="0" fontId="13" fillId="0" borderId="1" xfId="15" applyNumberFormat="1" applyFont="1"/>
    <xf numFmtId="0" fontId="12" fillId="0" borderId="0" xfId="24" applyNumberFormat="1" applyFont="1" applyBorder="1"/>
    <xf numFmtId="0" fontId="13" fillId="0" borderId="1" xfId="16" applyNumberFormat="1" applyFont="1"/>
    <xf numFmtId="164" fontId="12" fillId="0" borderId="0" xfId="1" applyFont="1" applyBorder="1"/>
    <xf numFmtId="0" fontId="12" fillId="0" borderId="0" xfId="25" applyNumberFormat="1" applyFont="1" applyBorder="1"/>
    <xf numFmtId="0" fontId="13" fillId="0" borderId="1" xfId="17" applyNumberFormat="1" applyFont="1"/>
    <xf numFmtId="0" fontId="12" fillId="0" borderId="0" xfId="19" quotePrefix="1" applyNumberFormat="1" applyFont="1"/>
    <xf numFmtId="0" fontId="13" fillId="0" borderId="1" xfId="11" applyNumberFormat="1" applyFont="1"/>
    <xf numFmtId="0" fontId="12" fillId="0" borderId="0" xfId="19" applyNumberFormat="1" applyFont="1"/>
    <xf numFmtId="0" fontId="12" fillId="0" borderId="0" xfId="26" quotePrefix="1" applyNumberFormat="1" applyFont="1" applyBorder="1"/>
    <xf numFmtId="0" fontId="13" fillId="0" borderId="1" xfId="18" applyNumberFormat="1" applyFont="1"/>
    <xf numFmtId="0" fontId="12" fillId="0" borderId="0" xfId="26" applyNumberFormat="1" applyFont="1" applyBorder="1"/>
    <xf numFmtId="0" fontId="13" fillId="0" borderId="1" xfId="2" quotePrefix="1" applyFont="1">
      <alignment horizontal="center" vertical="center"/>
    </xf>
    <xf numFmtId="164" fontId="13" fillId="0" borderId="4" xfId="1" quotePrefix="1" applyFont="1" applyBorder="1" applyAlignment="1">
      <alignment horizontal="center" vertical="center"/>
    </xf>
    <xf numFmtId="0" fontId="12" fillId="0" borderId="2" xfId="28" quotePrefix="1" applyFont="1"/>
    <xf numFmtId="165" fontId="13" fillId="0" borderId="1" xfId="12" applyNumberFormat="1" applyFont="1" applyAlignment="1"/>
    <xf numFmtId="164" fontId="12" fillId="0" borderId="0" xfId="20" applyNumberFormat="1" applyFont="1"/>
    <xf numFmtId="165" fontId="12" fillId="0" borderId="0" xfId="20" quotePrefix="1" applyNumberFormat="1" applyFont="1" applyAlignment="1"/>
    <xf numFmtId="164" fontId="14" fillId="0" borderId="0" xfId="1" applyFont="1" applyAlignment="1">
      <alignment horizontal="center"/>
    </xf>
    <xf numFmtId="0" fontId="0" fillId="0" borderId="0" xfId="0" quotePrefix="1"/>
    <xf numFmtId="0" fontId="12" fillId="0" borderId="2" xfId="1" applyNumberFormat="1" applyFont="1" applyBorder="1"/>
  </cellXfs>
  <cellStyles count="75">
    <cellStyle name="AF Column - IBM Cognos" xfId="2" xr:uid="{8376D91E-08AC-403D-A88E-6DE871EF1AD3}"/>
    <cellStyle name="AF Data - IBM Cognos" xfId="3" xr:uid="{38EB6003-DB02-4CB1-B7D6-F0A7DF731789}"/>
    <cellStyle name="AF Data 0 - IBM Cognos" xfId="4" xr:uid="{C1340D09-3888-477E-B0B8-054DC20EA361}"/>
    <cellStyle name="AF Data 1 - IBM Cognos" xfId="5" xr:uid="{CD6158AC-B44C-4A29-AF44-86972B0F4234}"/>
    <cellStyle name="AF Data 2 - IBM Cognos" xfId="6" xr:uid="{8C3B6747-E7C7-4B1D-8AEC-A94F297C79CA}"/>
    <cellStyle name="AF Data 3 - IBM Cognos" xfId="7" xr:uid="{662193FF-8280-4B04-93C2-89B4A6E05D04}"/>
    <cellStyle name="AF Data 4 - IBM Cognos" xfId="8" xr:uid="{9FBAA5FA-43B2-4500-8526-8D310CDB8F33}"/>
    <cellStyle name="AF Data 5 - IBM Cognos" xfId="9" xr:uid="{A311FA1F-3FB1-46FC-9496-0522CED7595B}"/>
    <cellStyle name="AF Data Leaf - IBM Cognos" xfId="10" xr:uid="{8562E26F-3A15-4D98-B191-F65B9341FDDD}"/>
    <cellStyle name="AF Header - IBM Cognos" xfId="11" xr:uid="{D9381158-2BF6-4860-8808-BB0C9A17C0EA}"/>
    <cellStyle name="AF Header 0 - IBM Cognos" xfId="12" xr:uid="{C65F8AC1-2DF7-43BD-B892-46B4A9EAE83A}"/>
    <cellStyle name="AF Header 1 - IBM Cognos" xfId="13" xr:uid="{8E711AD6-51F6-47B2-8C27-4AA8572090E1}"/>
    <cellStyle name="AF Header 2 - IBM Cognos" xfId="14" xr:uid="{4BBCAAA8-CE09-4AC2-ABD7-81C0C67445CD}"/>
    <cellStyle name="AF Header 3 - IBM Cognos" xfId="15" xr:uid="{0E9E35A9-FA5F-4591-8360-68733A897DD1}"/>
    <cellStyle name="AF Header 4 - IBM Cognos" xfId="16" xr:uid="{AF697056-11F1-4DC0-939C-ADDCAB9165C4}"/>
    <cellStyle name="AF Header 5 - IBM Cognos" xfId="17" xr:uid="{16D2682D-B1B9-4507-9A86-50342BBEED84}"/>
    <cellStyle name="AF Header Leaf - IBM Cognos" xfId="18" xr:uid="{00169C7E-8B9E-4A16-9D67-A4778A7E1C34}"/>
    <cellStyle name="AF Row - IBM Cognos" xfId="19" xr:uid="{4C125F00-2EE3-4091-AA4D-1F5B04A0A30A}"/>
    <cellStyle name="AF Row 0 - IBM Cognos" xfId="20" xr:uid="{C54E3411-7C49-447F-9285-0E19FC32C3A8}"/>
    <cellStyle name="AF Row 1 - IBM Cognos" xfId="21" xr:uid="{B5067D1A-0752-486B-83C4-2B5E76982D1D}"/>
    <cellStyle name="AF Row 2 - IBM Cognos" xfId="22" xr:uid="{D8AF5EA9-B7DB-4DDC-BFAB-5F4AC7D4E0D7}"/>
    <cellStyle name="AF Row 3 - IBM Cognos" xfId="23" xr:uid="{AAB17330-ACA5-495C-B0A5-84DB1E5A7214}"/>
    <cellStyle name="AF Row 4 - IBM Cognos" xfId="24" xr:uid="{4198A33C-29D6-45AA-B4CA-0D77E8219AE8}"/>
    <cellStyle name="AF Row 5 - IBM Cognos" xfId="25" xr:uid="{F5524348-F852-48FC-80C9-6414AAFAC386}"/>
    <cellStyle name="AF Row Leaf - IBM Cognos" xfId="26" xr:uid="{7D6D09F2-B6CE-41D3-95A5-F7C5B3FBBC45}"/>
    <cellStyle name="AF Subnm - IBM Cognos" xfId="27" xr:uid="{2D2D632D-D7CA-4082-AA4C-674F0D8DC8A1}"/>
    <cellStyle name="AF Title - IBM Cognos" xfId="28" xr:uid="{BC13BFBE-1E8A-45BF-A69C-32920FC1597E}"/>
    <cellStyle name="Calculated Column - IBM Cognos" xfId="29" xr:uid="{FBF2C13D-3B85-469A-854D-E60692E64313}"/>
    <cellStyle name="Calculated Column Name - IBM Cognos" xfId="30" xr:uid="{C4D1F3E1-F925-49CD-BFF8-78795DB2E2C7}"/>
    <cellStyle name="Calculated Row - IBM Cognos" xfId="31" xr:uid="{00EDFCBC-2FAF-4D46-993E-9648BE006372}"/>
    <cellStyle name="Calculated Row Name - IBM Cognos" xfId="32" xr:uid="{C7391E95-B58C-4B1C-BEEF-C83CA73120AD}"/>
    <cellStyle name="Column Name - IBM Cognos" xfId="33" xr:uid="{E2ABD02F-95F2-417B-88A3-D81E95DACFF9}"/>
    <cellStyle name="Column Template - IBM Cognos" xfId="34" xr:uid="{AF596C74-7771-4568-86F2-E1CEEA6ABD61}"/>
    <cellStyle name="Differs From Base - IBM Cognos" xfId="35" xr:uid="{CEABD3AB-EF9A-45D5-9BDA-AE361B10F493}"/>
    <cellStyle name="DQR Column 0 - IBM Cognos" xfId="36" xr:uid="{A77B2038-49C2-442F-8F2F-9392326C0B62}"/>
    <cellStyle name="DQR Column 1 - IBM Cognos" xfId="37" xr:uid="{E35B7318-EC8F-434D-A3CA-7FE98AC6E2B7}"/>
    <cellStyle name="DQR Column 2 - IBM Cognos" xfId="38" xr:uid="{81331785-D2DF-4FA7-8015-9FF5CDBDA921}"/>
    <cellStyle name="DQR Column 3 - IBM Cognos" xfId="39" xr:uid="{50766F80-5801-4E27-AC9F-0750CC3000AE}"/>
    <cellStyle name="DQR Column 4 - IBM Cognos" xfId="40" xr:uid="{506D6C5C-70DD-4C01-80AF-B8494B2A9357}"/>
    <cellStyle name="DQR Column 5 - IBM Cognos" xfId="41" xr:uid="{55887A8F-85C9-4750-8558-48273B89FA3E}"/>
    <cellStyle name="DQR Column Default - IBM Cognos" xfId="42" xr:uid="{DC28A5FA-6294-482B-99C1-EB34808C0AEB}"/>
    <cellStyle name="DQR Column Leaf - IBM Cognos" xfId="43" xr:uid="{5BABAC15-DB6F-4419-BB97-44C096FEBB0C}"/>
    <cellStyle name="DQR Data Default - IBM Cognos" xfId="44" xr:uid="{B4EECE1F-BBB7-49C3-9FAD-C79F45C5968E}"/>
    <cellStyle name="DQR Default - IBM Cognos" xfId="45" xr:uid="{CC284A36-27F1-45D5-BD03-DE40A019A587}"/>
    <cellStyle name="DQR Row 0 - IBM Cognos" xfId="46" xr:uid="{A18B1DE6-D5BC-4D54-9EB6-B7F82ED66B9C}"/>
    <cellStyle name="DQR Row 1 - IBM Cognos" xfId="47" xr:uid="{426642BE-D77A-4315-AD36-1F593E3B65DD}"/>
    <cellStyle name="DQR Row 2 - IBM Cognos" xfId="48" xr:uid="{F143E991-E0B9-478A-B7D4-93E0EAAD9E6A}"/>
    <cellStyle name="DQR Row 3 - IBM Cognos" xfId="49" xr:uid="{986EF017-2CE4-4588-B4B2-B680655633CC}"/>
    <cellStyle name="DQR Row 4 - IBM Cognos" xfId="50" xr:uid="{C42A4599-5E8C-42EA-9225-27992248E759}"/>
    <cellStyle name="DQR Row 5 - IBM Cognos" xfId="51" xr:uid="{BDBCE2B7-8AE5-4740-AB46-9A616252FD57}"/>
    <cellStyle name="DQR Row Default - IBM Cognos" xfId="52" xr:uid="{C5ACBCF4-A650-4E11-A4DC-E0E25EB93F78}"/>
    <cellStyle name="DQR Row Leaf - IBM Cognos" xfId="53" xr:uid="{452ED548-2A7D-4FE6-8439-A26B166596F9}"/>
    <cellStyle name="Edit - IBM Cognos" xfId="54" xr:uid="{723F74D6-754E-443B-BDED-1FA4BA82491B}"/>
    <cellStyle name="Formula - IBM Cognos" xfId="55" xr:uid="{384A639A-E844-4D24-8283-E85EBADF5EE1}"/>
    <cellStyle name="Group Name - IBM Cognos" xfId="56" xr:uid="{0B2AAE7E-73F0-4594-B840-44C2910A311A}"/>
    <cellStyle name="Hold Values - IBM Cognos" xfId="57" xr:uid="{82EB63A0-0F04-40EB-B51C-FFCAEE93A34F}"/>
    <cellStyle name="List Name - IBM Cognos" xfId="58" xr:uid="{58B9F7D3-EA92-4476-AB6A-3C1DD54F45AE}"/>
    <cellStyle name="Locked - IBM Cognos" xfId="59" xr:uid="{528BDFA3-44AA-416B-BA92-0B5CF8D440C5}"/>
    <cellStyle name="Measure - IBM Cognos" xfId="60" xr:uid="{C0154834-6479-45A8-963B-C96DC0CB90A2}"/>
    <cellStyle name="Measure Header - IBM Cognos" xfId="61" xr:uid="{A3DC8FE0-4E6E-4482-8EAD-F7617646B6D1}"/>
    <cellStyle name="Measure Name - IBM Cognos" xfId="62" xr:uid="{919DD456-8B8D-40CD-B2CD-03AB89798E1E}"/>
    <cellStyle name="Measure Summary - IBM Cognos" xfId="63" xr:uid="{C8F41639-FE8B-4B7B-BE4B-6381445DB650}"/>
    <cellStyle name="Measure Summary TM1 - IBM Cognos" xfId="64" xr:uid="{833480CB-C6BC-49C9-BD14-985F1F6B3091}"/>
    <cellStyle name="Measure Template - IBM Cognos" xfId="65" xr:uid="{D48A8732-A946-4387-AED7-AB0DCFC35448}"/>
    <cellStyle name="More - IBM Cognos" xfId="66" xr:uid="{28B21BB8-5E95-4D55-B06D-B9AF00F350EC}"/>
    <cellStyle name="Normal" xfId="0" builtinId="0" customBuiltin="1"/>
    <cellStyle name="Pending Change - IBM Cognos" xfId="67" xr:uid="{ED21F56E-76C3-4FF1-A851-3545B96298C2}"/>
    <cellStyle name="Row Name - IBM Cognos" xfId="68" xr:uid="{F837A401-2CE5-4E5D-8230-6D748E1FCA26}"/>
    <cellStyle name="Row Template - IBM Cognos" xfId="69" xr:uid="{E3CE40B4-9A5B-4C6C-8939-F62047382118}"/>
    <cellStyle name="Summary Column Name - IBM Cognos" xfId="70" xr:uid="{7DECA1B8-392B-4FD2-88FA-269FD8580AA1}"/>
    <cellStyle name="Summary Column Name TM1 - IBM Cognos" xfId="71" xr:uid="{94E2FA5A-905D-435E-80A1-E2B6728DC8FB}"/>
    <cellStyle name="Summary Row Name - IBM Cognos" xfId="72" xr:uid="{BD6D2BE5-6273-4DC2-84AE-43A2738D4EDC}"/>
    <cellStyle name="Summary Row Name TM1 - IBM Cognos" xfId="73" xr:uid="{A7CC3EEB-98E2-4C47-9C5D-A6349A6B8E4A}"/>
    <cellStyle name="Unsaved Change - IBM Cognos" xfId="74" xr:uid="{5F3C5447-1B5B-4DD7-B814-838C7CC07EAE}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A75E-F776-4DA0-A065-6D4254BA635F}">
  <dimension ref="B1:B2"/>
  <sheetViews>
    <sheetView workbookViewId="0"/>
  </sheetViews>
  <sheetFormatPr defaultRowHeight="15" x14ac:dyDescent="0.25"/>
  <sheetData>
    <row r="1" spans="2:2" x14ac:dyDescent="0.25">
      <c r="B1" s="32" t="s">
        <v>16</v>
      </c>
    </row>
    <row r="2" spans="2:2" x14ac:dyDescent="0.25">
      <c r="B2" s="32" t="s">
        <v>17</v>
      </c>
    </row>
  </sheetData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C66F-376D-4C41-BB5D-636DE8D29B11}">
  <dimension ref="A1:E22"/>
  <sheetViews>
    <sheetView tabSelected="1" topLeftCell="B16" zoomScale="130" zoomScaleNormal="130" workbookViewId="0"/>
  </sheetViews>
  <sheetFormatPr defaultRowHeight="21" x14ac:dyDescent="0.35"/>
  <cols>
    <col min="1" max="1" width="27.28515625" style="2" hidden="1" customWidth="1"/>
    <col min="2" max="2" width="22.28515625" style="2" customWidth="1"/>
    <col min="3" max="3" width="35.28515625" style="3" customWidth="1"/>
    <col min="4" max="4" width="32.140625" style="3" customWidth="1"/>
    <col min="5" max="5" width="31.85546875" style="2" customWidth="1"/>
    <col min="6" max="16384" width="9.140625" style="2"/>
  </cols>
  <sheetData>
    <row r="1" spans="1:4" ht="21.75" hidden="1" thickBot="1" x14ac:dyDescent="0.4">
      <c r="A1" s="1" t="s">
        <v>9</v>
      </c>
    </row>
    <row r="2" spans="1:4" s="4" customFormat="1" ht="21.75" hidden="1" thickBot="1" x14ac:dyDescent="0.4">
      <c r="A2" s="4">
        <v>0</v>
      </c>
      <c r="B2" s="5" t="s">
        <v>13</v>
      </c>
      <c r="C2" s="6">
        <v>123.456789</v>
      </c>
      <c r="D2" s="7"/>
    </row>
    <row r="3" spans="1:4" s="8" customFormat="1" ht="21.75" hidden="1" thickBot="1" x14ac:dyDescent="0.4">
      <c r="A3" s="8">
        <v>1</v>
      </c>
      <c r="B3" s="9" t="s">
        <v>13</v>
      </c>
      <c r="C3" s="6">
        <v>123.456789</v>
      </c>
      <c r="D3" s="7"/>
    </row>
    <row r="4" spans="1:4" s="10" customFormat="1" ht="21.75" hidden="1" thickBot="1" x14ac:dyDescent="0.4">
      <c r="A4" s="10">
        <v>2</v>
      </c>
      <c r="B4" s="11" t="s">
        <v>13</v>
      </c>
      <c r="C4" s="6">
        <v>123.456789</v>
      </c>
      <c r="D4" s="7"/>
    </row>
    <row r="5" spans="1:4" s="12" customFormat="1" ht="21.75" hidden="1" thickBot="1" x14ac:dyDescent="0.4">
      <c r="A5" s="12">
        <v>3</v>
      </c>
      <c r="B5" s="13" t="s">
        <v>13</v>
      </c>
      <c r="C5" s="6">
        <v>123.456789</v>
      </c>
      <c r="D5" s="7"/>
    </row>
    <row r="6" spans="1:4" s="14" customFormat="1" ht="21.75" hidden="1" thickBot="1" x14ac:dyDescent="0.4">
      <c r="A6" s="14">
        <v>4</v>
      </c>
      <c r="B6" s="15" t="s">
        <v>13</v>
      </c>
      <c r="C6" s="6">
        <v>123.456789</v>
      </c>
      <c r="D6" s="16"/>
    </row>
    <row r="7" spans="1:4" s="17" customFormat="1" ht="21.75" hidden="1" thickBot="1" x14ac:dyDescent="0.4">
      <c r="A7" s="17">
        <v>5</v>
      </c>
      <c r="B7" s="18" t="s">
        <v>13</v>
      </c>
      <c r="C7" s="6">
        <v>123.456789</v>
      </c>
      <c r="D7" s="16"/>
    </row>
    <row r="8" spans="1:4" s="21" customFormat="1" ht="21.75" hidden="1" thickBot="1" x14ac:dyDescent="0.4">
      <c r="A8" s="19" t="s">
        <v>10</v>
      </c>
      <c r="B8" s="20" t="s">
        <v>13</v>
      </c>
      <c r="C8" s="6">
        <v>123.456789</v>
      </c>
      <c r="D8" s="7"/>
    </row>
    <row r="9" spans="1:4" s="24" customFormat="1" ht="21.75" hidden="1" thickBot="1" x14ac:dyDescent="0.4">
      <c r="A9" s="22" t="s">
        <v>11</v>
      </c>
      <c r="B9" s="23" t="s">
        <v>13</v>
      </c>
      <c r="C9" s="6">
        <v>123.456789</v>
      </c>
      <c r="D9" s="16"/>
    </row>
    <row r="10" spans="1:4" hidden="1" x14ac:dyDescent="0.35">
      <c r="A10" s="1" t="s">
        <v>12</v>
      </c>
    </row>
    <row r="11" spans="1:4" hidden="1" x14ac:dyDescent="0.35">
      <c r="B11" s="1" t="s">
        <v>14</v>
      </c>
    </row>
    <row r="12" spans="1:4" hidden="1" x14ac:dyDescent="0.35">
      <c r="B12" s="2" t="str">
        <f>_xll.TM1RPTVIEW("tm1:Fiili Mizan:17335382",1,_xll.TM1RPTTITLE("tm1:Period",$C$16),_xll.TM1RPTTITLE("tm1:Version_Actual",$C$17),TM1RPTFMTRNG17335382,TM1RPTFMTIDCOL17335382)</f>
        <v>tm1:Fiili Mizan:17335382</v>
      </c>
    </row>
    <row r="13" spans="1:4" ht="21.75" hidden="1" thickBot="1" x14ac:dyDescent="0.4">
      <c r="B13" s="2" t="s">
        <v>4</v>
      </c>
    </row>
    <row r="14" spans="1:4" ht="21.75" hidden="1" thickBot="1" x14ac:dyDescent="0.4">
      <c r="B14" s="25" t="s">
        <v>2</v>
      </c>
      <c r="C14" s="26" t="s">
        <v>5</v>
      </c>
    </row>
    <row r="15" spans="1:4" hidden="1" x14ac:dyDescent="0.35">
      <c r="B15" s="27" t="s">
        <v>15</v>
      </c>
      <c r="C15" s="6" t="str">
        <f>CONCATENATE(C16,"-YTD")</f>
        <v>2024-09-YTD</v>
      </c>
    </row>
    <row r="16" spans="1:4" x14ac:dyDescent="0.35">
      <c r="B16" s="27" t="s">
        <v>0</v>
      </c>
      <c r="C16" s="33" t="str">
        <f>_xll.SUBNM("tm1:Period","Ana Dönem - IFRS","2024-09")</f>
        <v>2024-09</v>
      </c>
    </row>
    <row r="17" spans="1:5" x14ac:dyDescent="0.35">
      <c r="B17" s="27" t="s">
        <v>1</v>
      </c>
      <c r="C17" s="6" t="str">
        <f>_xll.SUBNM("tm1:Version_Actual",,"Fiili")</f>
        <v>Fiili</v>
      </c>
    </row>
    <row r="19" spans="1:5" ht="21.75" thickBot="1" x14ac:dyDescent="0.4">
      <c r="C19" s="31" t="s">
        <v>7</v>
      </c>
      <c r="D19" s="31" t="s">
        <v>6</v>
      </c>
      <c r="E19" s="31" t="s">
        <v>8</v>
      </c>
    </row>
    <row r="20" spans="1:5" ht="21.75" thickBot="1" x14ac:dyDescent="0.4">
      <c r="B20" s="28" t="str">
        <f>_xll.TM1RPTROW($B$12,"tm1:Mizan_Hesapları",,,"MEMBER_NAME",FALSE,B$11)</f>
        <v>6</v>
      </c>
      <c r="C20" s="6">
        <f>_xll.DBRW($B$13,$B20,"All Cost Centers",$C$17,$C$15,C$14)</f>
        <v>-3882452135.9909449</v>
      </c>
      <c r="D20" s="7">
        <f>_xll.DBRW($B$12,$B20,$C$17,$C$16,B$14)</f>
        <v>-197841343.32999632</v>
      </c>
      <c r="E20" s="29">
        <f>D20-C20</f>
        <v>3684610792.6609488</v>
      </c>
    </row>
    <row r="21" spans="1:5" s="4" customFormat="1" ht="21.75" thickBot="1" x14ac:dyDescent="0.4">
      <c r="A21" s="4" t="e">
        <f ca="1">IF(_xll.TM1RPTELISCONSOLIDATED($B$20,$B20),IF(_xll.TM1RPTELLEV($B$20,$B20)&lt;=5,_xll.TM1RPTELLEV($B$20,$B20),"Default"),"Leaf")</f>
        <v>#VALUE!</v>
      </c>
      <c r="B21" s="28" t="s">
        <v>3</v>
      </c>
      <c r="C21" s="6">
        <f>_xll.DBRW($B$13,$B21,"All Cost Centers",$C$17,$C$15,C$14)</f>
        <v>1300798543.8500054</v>
      </c>
      <c r="D21" s="7">
        <f>_xll.DBRW($B$12,$B21,$C$17,$C$16,B$14)</f>
        <v>1300798477.6500001</v>
      </c>
      <c r="E21" s="29">
        <f>D21-C21</f>
        <v>-66.200005292892456</v>
      </c>
    </row>
    <row r="22" spans="1:5" s="4" customFormat="1" x14ac:dyDescent="0.35">
      <c r="A22" s="4" t="e">
        <f ca="1">IF(_xll.TM1RPTELISCONSOLIDATED($B$20,$B21),IF(_xll.TM1RPTELLEV($B$20,$B21)&lt;=5,_xll.TM1RPTELLEV($B$20,$B21),"Default"),"Leaf")</f>
        <v>#VALUE!</v>
      </c>
      <c r="B22" s="30" t="s">
        <v>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5</vt:i4>
      </vt:variant>
    </vt:vector>
  </HeadingPairs>
  <TitlesOfParts>
    <vt:vector size="6" baseType="lpstr">
      <vt:lpstr>Fiili Kontrol</vt:lpstr>
      <vt:lpstr>'Fiili Kontrol'!TM1RPTDATARNG17335382</vt:lpstr>
      <vt:lpstr>'Fiili Kontrol'!TM1RPTFMTIDCOL17335382</vt:lpstr>
      <vt:lpstr>'Fiili Kontrol'!TM1RPTFMTRNG17335382</vt:lpstr>
      <vt:lpstr>'Fiili Kontrol'!TM1RPTQRYRNG17335382</vt:lpstr>
      <vt:lpstr>'Fiili Kontrol'!TM1RPTVIEWRNG17335382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Batur Alp KARACA</dc:creator>
  <cp:lastModifiedBy>Mustafa Batur Alp KARACA</cp:lastModifiedBy>
  <dcterms:created xsi:type="dcterms:W3CDTF">2024-04-20T09:03:13Z</dcterms:created>
  <dcterms:modified xsi:type="dcterms:W3CDTF">2024-10-07T14:01:58Z</dcterms:modified>
</cp:coreProperties>
</file>